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mc:AlternateContent xmlns:mc="http://schemas.openxmlformats.org/markup-compatibility/2006">
    <mc:Choice Requires="x15">
      <x15ac:absPath xmlns:x15ac="http://schemas.microsoft.com/office/spreadsheetml/2010/11/ac" url="C:\Users\Gil\Downloads\"/>
    </mc:Choice>
  </mc:AlternateContent>
  <xr:revisionPtr revIDLastSave="0" documentId="13_ncr:1_{09BC9C7F-1E91-4A4B-AD6D-7153CFC7A696}" xr6:coauthVersionLast="47" xr6:coauthVersionMax="47" xr10:uidLastSave="{00000000-0000-0000-0000-000000000000}"/>
  <bookViews>
    <workbookView xWindow="-108" yWindow="-108" windowWidth="23256" windowHeight="12456" firstSheet="3" activeTab="3" xr2:uid="{00000000-000D-0000-FFFF-FFFF00000000}"/>
  </bookViews>
  <sheets>
    <sheet name="Home" sheetId="1" r:id="rId1"/>
    <sheet name="INPUT DATA" sheetId="2" r:id="rId2"/>
    <sheet name="TERM 1 SUMMARY" sheetId="3" r:id="rId3"/>
    <sheet name="Card_SF9" sheetId="6" r:id="rId4"/>
  </sheets>
  <definedNames>
    <definedName name="_xlnm.Print_Area" localSheetId="3">Card_SF9!$A$1:$L$53,Card_SF9!$P$2:$AD$53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5" i="6" l="1"/>
  <c r="S5" i="6"/>
  <c r="R5" i="6"/>
  <c r="U5" i="6"/>
  <c r="V5" i="6"/>
  <c r="W5" i="6"/>
  <c r="X5" i="6"/>
  <c r="Y5" i="6"/>
  <c r="Z5" i="6"/>
  <c r="AA5" i="6"/>
  <c r="AB5" i="6"/>
  <c r="G33" i="6" l="1"/>
  <c r="H33" i="6"/>
  <c r="K33" i="6"/>
  <c r="L33" i="6"/>
  <c r="I116" i="3"/>
  <c r="H116" i="3"/>
  <c r="F116" i="3"/>
  <c r="C116" i="3"/>
  <c r="I115" i="3"/>
  <c r="H115" i="3"/>
  <c r="F115" i="3"/>
  <c r="C115" i="3"/>
  <c r="I114" i="3"/>
  <c r="H114" i="3"/>
  <c r="F114" i="3"/>
  <c r="C114" i="3"/>
  <c r="I113" i="3"/>
  <c r="H113" i="3"/>
  <c r="F113" i="3"/>
  <c r="C113" i="3"/>
  <c r="I112" i="3"/>
  <c r="H112" i="3"/>
  <c r="F112" i="3"/>
  <c r="C112" i="3"/>
  <c r="I111" i="3"/>
  <c r="H111" i="3"/>
  <c r="F111" i="3"/>
  <c r="C111" i="3"/>
  <c r="I110" i="3"/>
  <c r="H110" i="3"/>
  <c r="F110" i="3"/>
  <c r="C110" i="3"/>
  <c r="I109" i="3"/>
  <c r="H109" i="3"/>
  <c r="F109" i="3"/>
  <c r="C109" i="3"/>
  <c r="I108" i="3"/>
  <c r="H108" i="3"/>
  <c r="F108" i="3"/>
  <c r="C108" i="3"/>
  <c r="I107" i="3"/>
  <c r="H107" i="3"/>
  <c r="F107" i="3"/>
  <c r="C107" i="3"/>
  <c r="I106" i="3"/>
  <c r="H106" i="3"/>
  <c r="F106" i="3"/>
  <c r="C106" i="3"/>
  <c r="I105" i="3"/>
  <c r="H105" i="3"/>
  <c r="F105" i="3"/>
  <c r="C105" i="3"/>
  <c r="I104" i="3"/>
  <c r="H104" i="3"/>
  <c r="F104" i="3"/>
  <c r="C104" i="3"/>
  <c r="I103" i="3"/>
  <c r="H103" i="3"/>
  <c r="F103" i="3"/>
  <c r="C103" i="3"/>
  <c r="I102" i="3"/>
  <c r="H102" i="3"/>
  <c r="F102" i="3"/>
  <c r="C102" i="3"/>
  <c r="I101" i="3"/>
  <c r="H101" i="3"/>
  <c r="F101" i="3"/>
  <c r="C101" i="3"/>
  <c r="I100" i="3"/>
  <c r="H100" i="3"/>
  <c r="F100" i="3"/>
  <c r="C100" i="3"/>
  <c r="I99" i="3"/>
  <c r="H99" i="3"/>
  <c r="F99" i="3"/>
  <c r="C99" i="3"/>
  <c r="I98" i="3"/>
  <c r="H98" i="3"/>
  <c r="F98" i="3"/>
  <c r="C98" i="3"/>
  <c r="I97" i="3"/>
  <c r="H97" i="3"/>
  <c r="F97" i="3"/>
  <c r="C97" i="3"/>
  <c r="H96" i="3"/>
  <c r="I96" i="3" s="1"/>
  <c r="F96" i="3"/>
  <c r="C96" i="3"/>
  <c r="I95" i="3"/>
  <c r="H95" i="3"/>
  <c r="F95" i="3"/>
  <c r="C95" i="3"/>
  <c r="H94" i="3"/>
  <c r="I94" i="3" s="1"/>
  <c r="F94" i="3"/>
  <c r="C94" i="3"/>
  <c r="H93" i="3"/>
  <c r="I93" i="3" s="1"/>
  <c r="F93" i="3"/>
  <c r="C93" i="3"/>
  <c r="I92" i="3"/>
  <c r="H92" i="3"/>
  <c r="F92" i="3"/>
  <c r="C92" i="3"/>
  <c r="H91" i="3"/>
  <c r="I91" i="3" s="1"/>
  <c r="F91" i="3"/>
  <c r="C91" i="3"/>
  <c r="H90" i="3"/>
  <c r="I90" i="3" s="1"/>
  <c r="F90" i="3"/>
  <c r="C90" i="3"/>
  <c r="I89" i="3"/>
  <c r="H89" i="3"/>
  <c r="F89" i="3"/>
  <c r="C89" i="3"/>
  <c r="H88" i="3"/>
  <c r="I88" i="3" s="1"/>
  <c r="F88" i="3"/>
  <c r="C88" i="3"/>
  <c r="H87" i="3"/>
  <c r="I87" i="3" s="1"/>
  <c r="F87" i="3"/>
  <c r="C87" i="3"/>
  <c r="I86" i="3"/>
  <c r="H86" i="3"/>
  <c r="F86" i="3"/>
  <c r="C86" i="3"/>
  <c r="H85" i="3"/>
  <c r="I85" i="3" s="1"/>
  <c r="F85" i="3"/>
  <c r="C85" i="3"/>
  <c r="H84" i="3"/>
  <c r="I84" i="3" s="1"/>
  <c r="F84" i="3"/>
  <c r="C84" i="3"/>
  <c r="I83" i="3"/>
  <c r="H83" i="3"/>
  <c r="F83" i="3"/>
  <c r="C83" i="3"/>
  <c r="H82" i="3"/>
  <c r="I82" i="3" s="1"/>
  <c r="F82" i="3"/>
  <c r="C82" i="3"/>
  <c r="H81" i="3"/>
  <c r="I81" i="3" s="1"/>
  <c r="F81" i="3"/>
  <c r="C81" i="3"/>
  <c r="I80" i="3"/>
  <c r="H80" i="3"/>
  <c r="F80" i="3"/>
  <c r="C80" i="3"/>
  <c r="H79" i="3"/>
  <c r="I79" i="3" s="1"/>
  <c r="F79" i="3"/>
  <c r="C79" i="3"/>
  <c r="H78" i="3"/>
  <c r="I78" i="3" s="1"/>
  <c r="F78" i="3"/>
  <c r="C78" i="3"/>
  <c r="I77" i="3"/>
  <c r="H77" i="3"/>
  <c r="F77" i="3"/>
  <c r="C77" i="3"/>
  <c r="H76" i="3"/>
  <c r="I76" i="3" s="1"/>
  <c r="F76" i="3"/>
  <c r="C76" i="3"/>
  <c r="H75" i="3"/>
  <c r="I75" i="3" s="1"/>
  <c r="F75" i="3"/>
  <c r="C75" i="3"/>
  <c r="K74" i="3"/>
  <c r="I74" i="3"/>
  <c r="H74" i="3"/>
  <c r="C74" i="3"/>
  <c r="K73" i="3"/>
  <c r="H73" i="3"/>
  <c r="C73" i="3"/>
  <c r="K72" i="3"/>
  <c r="H72" i="3"/>
  <c r="I72" i="3" s="1"/>
  <c r="C72" i="3"/>
  <c r="K71" i="3"/>
  <c r="H71" i="3"/>
  <c r="C71" i="3"/>
  <c r="K70" i="3"/>
  <c r="H70" i="3"/>
  <c r="I70" i="3" s="1"/>
  <c r="C70" i="3"/>
  <c r="K69" i="3"/>
  <c r="I69" i="3"/>
  <c r="H69" i="3"/>
  <c r="C69" i="3"/>
  <c r="K68" i="3"/>
  <c r="I68" i="3"/>
  <c r="H68" i="3"/>
  <c r="C68" i="3"/>
  <c r="K67" i="3"/>
  <c r="H67" i="3"/>
  <c r="I67" i="3" s="1"/>
  <c r="C67" i="3"/>
  <c r="I65" i="3"/>
  <c r="H65" i="3"/>
  <c r="F65" i="3"/>
  <c r="C65" i="3"/>
  <c r="I64" i="3"/>
  <c r="H64" i="3"/>
  <c r="F64" i="3"/>
  <c r="C64" i="3"/>
  <c r="I63" i="3"/>
  <c r="H63" i="3"/>
  <c r="F63" i="3"/>
  <c r="C63" i="3"/>
  <c r="I62" i="3"/>
  <c r="H62" i="3"/>
  <c r="F62" i="3"/>
  <c r="C62" i="3"/>
  <c r="I61" i="3"/>
  <c r="H61" i="3"/>
  <c r="F61" i="3"/>
  <c r="C61" i="3"/>
  <c r="I60" i="3"/>
  <c r="H60" i="3"/>
  <c r="F60" i="3"/>
  <c r="C60" i="3"/>
  <c r="I59" i="3"/>
  <c r="H59" i="3"/>
  <c r="F59" i="3"/>
  <c r="C59" i="3"/>
  <c r="I58" i="3"/>
  <c r="H58" i="3"/>
  <c r="F58" i="3"/>
  <c r="C58" i="3"/>
  <c r="I57" i="3"/>
  <c r="H57" i="3"/>
  <c r="F57" i="3"/>
  <c r="C57" i="3"/>
  <c r="I56" i="3"/>
  <c r="H56" i="3"/>
  <c r="F56" i="3"/>
  <c r="C56" i="3"/>
  <c r="I55" i="3"/>
  <c r="H55" i="3"/>
  <c r="F55" i="3"/>
  <c r="C55" i="3"/>
  <c r="I54" i="3"/>
  <c r="H54" i="3"/>
  <c r="F54" i="3"/>
  <c r="C54" i="3"/>
  <c r="I53" i="3"/>
  <c r="H53" i="3"/>
  <c r="F53" i="3"/>
  <c r="C53" i="3"/>
  <c r="I52" i="3"/>
  <c r="H52" i="3"/>
  <c r="F52" i="3"/>
  <c r="C52" i="3"/>
  <c r="I51" i="3"/>
  <c r="H51" i="3"/>
  <c r="F51" i="3"/>
  <c r="C51" i="3"/>
  <c r="I50" i="3"/>
  <c r="H50" i="3"/>
  <c r="F50" i="3"/>
  <c r="C50" i="3"/>
  <c r="I49" i="3"/>
  <c r="H49" i="3"/>
  <c r="F49" i="3"/>
  <c r="C49" i="3"/>
  <c r="I48" i="3"/>
  <c r="H48" i="3"/>
  <c r="F48" i="3"/>
  <c r="C48" i="3"/>
  <c r="I47" i="3"/>
  <c r="H47" i="3"/>
  <c r="F47" i="3"/>
  <c r="C47" i="3"/>
  <c r="I46" i="3"/>
  <c r="H46" i="3"/>
  <c r="F46" i="3"/>
  <c r="C46" i="3"/>
  <c r="I45" i="3"/>
  <c r="H45" i="3"/>
  <c r="F45" i="3"/>
  <c r="C45" i="3"/>
  <c r="I44" i="3"/>
  <c r="H44" i="3"/>
  <c r="F44" i="3"/>
  <c r="C44" i="3"/>
  <c r="I43" i="3"/>
  <c r="H43" i="3"/>
  <c r="F43" i="3"/>
  <c r="C43" i="3"/>
  <c r="I42" i="3"/>
  <c r="H42" i="3"/>
  <c r="F42" i="3"/>
  <c r="C42" i="3"/>
  <c r="I41" i="3"/>
  <c r="H41" i="3"/>
  <c r="F41" i="3"/>
  <c r="C41" i="3"/>
  <c r="I40" i="3"/>
  <c r="H40" i="3"/>
  <c r="F40" i="3"/>
  <c r="C40" i="3"/>
  <c r="K39" i="3"/>
  <c r="H39" i="3"/>
  <c r="F39" i="3"/>
  <c r="C39" i="3"/>
  <c r="K38" i="3"/>
  <c r="I38" i="3"/>
  <c r="H38" i="3"/>
  <c r="F38" i="3"/>
  <c r="C38" i="3"/>
  <c r="K37" i="3"/>
  <c r="H37" i="3"/>
  <c r="I37" i="3" s="1"/>
  <c r="F37" i="3"/>
  <c r="C37" i="3"/>
  <c r="K36" i="3"/>
  <c r="I36" i="3"/>
  <c r="H36" i="3"/>
  <c r="F36" i="3"/>
  <c r="C36" i="3"/>
  <c r="K35" i="3"/>
  <c r="I35" i="3"/>
  <c r="H35" i="3"/>
  <c r="F35" i="3"/>
  <c r="C35" i="3"/>
  <c r="K34" i="3"/>
  <c r="I34" i="3"/>
  <c r="H34" i="3"/>
  <c r="F34" i="3"/>
  <c r="C34" i="3"/>
  <c r="K33" i="3"/>
  <c r="H33" i="3"/>
  <c r="I33" i="3" s="1"/>
  <c r="F33" i="3"/>
  <c r="C33" i="3"/>
  <c r="K32" i="3"/>
  <c r="H32" i="3"/>
  <c r="I32" i="3" s="1"/>
  <c r="F32" i="3"/>
  <c r="C32" i="3"/>
  <c r="K31" i="3"/>
  <c r="H31" i="3"/>
  <c r="I31" i="3" s="1"/>
  <c r="F31" i="3"/>
  <c r="C31" i="3"/>
  <c r="K30" i="3"/>
  <c r="H30" i="3"/>
  <c r="F30" i="3"/>
  <c r="C30" i="3"/>
  <c r="K29" i="3"/>
  <c r="H29" i="3"/>
  <c r="I29" i="3" s="1"/>
  <c r="F29" i="3"/>
  <c r="C29" i="3"/>
  <c r="K28" i="3"/>
  <c r="H28" i="3"/>
  <c r="I28" i="3" s="1"/>
  <c r="F28" i="3"/>
  <c r="C28" i="3"/>
  <c r="K27" i="3"/>
  <c r="H27" i="3"/>
  <c r="I27" i="3" s="1"/>
  <c r="F27" i="3"/>
  <c r="C27" i="3"/>
  <c r="K26" i="3"/>
  <c r="I26" i="3"/>
  <c r="H26" i="3"/>
  <c r="F26" i="3"/>
  <c r="C26" i="3"/>
  <c r="K25" i="3"/>
  <c r="H25" i="3"/>
  <c r="F25" i="3"/>
  <c r="C25" i="3"/>
  <c r="K24" i="3"/>
  <c r="H24" i="3"/>
  <c r="F24" i="3"/>
  <c r="C24" i="3"/>
  <c r="K23" i="3"/>
  <c r="H23" i="3"/>
  <c r="I23" i="3" s="1"/>
  <c r="F23" i="3"/>
  <c r="C23" i="3"/>
  <c r="K22" i="3"/>
  <c r="H22" i="3"/>
  <c r="F22" i="3"/>
  <c r="C22" i="3"/>
  <c r="K21" i="3"/>
  <c r="H21" i="3"/>
  <c r="F21" i="3"/>
  <c r="C21" i="3"/>
  <c r="K20" i="3"/>
  <c r="H20" i="3"/>
  <c r="I20" i="3" s="1"/>
  <c r="F20" i="3"/>
  <c r="C20" i="3"/>
  <c r="K19" i="3"/>
  <c r="H19" i="3"/>
  <c r="F19" i="3"/>
  <c r="C19" i="3"/>
  <c r="K18" i="3"/>
  <c r="H18" i="3"/>
  <c r="F18" i="3"/>
  <c r="C18" i="3"/>
  <c r="K17" i="3"/>
  <c r="H17" i="3"/>
  <c r="I17" i="3" s="1"/>
  <c r="F17" i="3"/>
  <c r="C17" i="3"/>
  <c r="K16" i="3"/>
  <c r="H16" i="3"/>
  <c r="I16" i="3" s="1"/>
  <c r="F16" i="3"/>
  <c r="C16" i="3"/>
  <c r="O10" i="3"/>
  <c r="G10" i="3"/>
  <c r="O9" i="3"/>
  <c r="G9" i="3"/>
  <c r="O6" i="3"/>
  <c r="J6" i="3"/>
  <c r="E6" i="3"/>
  <c r="J5" i="3"/>
  <c r="E5" i="3"/>
  <c r="Q50" i="6"/>
  <c r="H43" i="6"/>
  <c r="J43" i="6" s="1"/>
  <c r="G42" i="6"/>
  <c r="J42" i="6" s="1"/>
  <c r="Q41" i="6"/>
  <c r="L41" i="6"/>
  <c r="K41" i="6"/>
  <c r="X39" i="6"/>
  <c r="L39" i="6"/>
  <c r="K39" i="6"/>
  <c r="H39" i="6"/>
  <c r="G39" i="6"/>
  <c r="L38" i="6"/>
  <c r="K38" i="6"/>
  <c r="H38" i="6"/>
  <c r="G38" i="6"/>
  <c r="L37" i="6"/>
  <c r="K37" i="6"/>
  <c r="H37" i="6"/>
  <c r="G37" i="6"/>
  <c r="L36" i="6"/>
  <c r="K36" i="6"/>
  <c r="H36" i="6"/>
  <c r="G36" i="6"/>
  <c r="AE35" i="6"/>
  <c r="H35" i="6"/>
  <c r="G35" i="6"/>
  <c r="H34" i="6"/>
  <c r="G34" i="6"/>
  <c r="H27" i="6"/>
  <c r="B27" i="6"/>
  <c r="E19" i="6"/>
  <c r="K18" i="6"/>
  <c r="I18" i="6"/>
  <c r="AB7" i="6"/>
  <c r="AB9" i="6" s="1"/>
  <c r="AA7" i="6"/>
  <c r="AA9" i="6" s="1"/>
  <c r="Z7" i="6"/>
  <c r="Z9" i="6" s="1"/>
  <c r="Y7" i="6"/>
  <c r="Y9" i="6" s="1"/>
  <c r="X7" i="6"/>
  <c r="X9" i="6" s="1"/>
  <c r="W7" i="6"/>
  <c r="W9" i="6" s="1"/>
  <c r="V7" i="6"/>
  <c r="V9" i="6" s="1"/>
  <c r="U7" i="6"/>
  <c r="U9" i="6" s="1"/>
  <c r="T7" i="6"/>
  <c r="T9" i="6" s="1"/>
  <c r="S7" i="6"/>
  <c r="S9" i="6" s="1"/>
  <c r="R7" i="6"/>
  <c r="AC5" i="6"/>
  <c r="AC7" i="6" l="1"/>
  <c r="AC9" i="6" s="1"/>
  <c r="K17" i="6"/>
  <c r="F39" i="6"/>
  <c r="R9" i="6"/>
  <c r="F34" i="6"/>
  <c r="F38" i="6"/>
  <c r="F35" i="6"/>
  <c r="F37" i="6"/>
  <c r="F36" i="6"/>
  <c r="F41" i="6"/>
  <c r="K42" i="6"/>
  <c r="J44" i="6"/>
  <c r="K44" i="6" s="1"/>
  <c r="L42" i="6"/>
  <c r="L44" i="6" s="1"/>
  <c r="L43" i="6"/>
  <c r="K43" i="6"/>
</calcChain>
</file>

<file path=xl/sharedStrings.xml><?xml version="1.0" encoding="utf-8"?>
<sst xmlns="http://schemas.openxmlformats.org/spreadsheetml/2006/main" count="343" uniqueCount="246">
  <si>
    <t>Input Data Sheet for Electronic-Class Record (ECR) for Class Adviser</t>
  </si>
  <si>
    <t>SCHOOL INFORMATION</t>
  </si>
  <si>
    <t>LEARNERS' DATA</t>
  </si>
  <si>
    <t>REGION</t>
  </si>
  <si>
    <t>:</t>
  </si>
  <si>
    <t>Region IV-A</t>
  </si>
  <si>
    <t>MALE</t>
  </si>
  <si>
    <t>LRN</t>
  </si>
  <si>
    <t>BIRTHDATE</t>
  </si>
  <si>
    <t>FEMALE</t>
  </si>
  <si>
    <t>DIVISION</t>
  </si>
  <si>
    <t>BATANGAS PROVINCE</t>
  </si>
  <si>
    <t>CITY/MUNICIPALITY</t>
  </si>
  <si>
    <t>TALISAY</t>
  </si>
  <si>
    <t>DISTRICT</t>
  </si>
  <si>
    <t>SCHOOL ID</t>
  </si>
  <si>
    <t>SCHOOL NAME</t>
  </si>
  <si>
    <t>TALISAY SENIOR HIGH SCHOOL</t>
  </si>
  <si>
    <t>11/30/2009</t>
  </si>
  <si>
    <t>SCHOOL YEAR</t>
  </si>
  <si>
    <t>2026-2027</t>
  </si>
  <si>
    <t>SCHOOL HEAD</t>
  </si>
  <si>
    <t>JAENA N. DELA CERNA</t>
  </si>
  <si>
    <t>TEACHER, GRADE LEVEL, SECTION INFORMATION</t>
  </si>
  <si>
    <t>ADVISER</t>
  </si>
  <si>
    <t>GRADE LEVEL</t>
  </si>
  <si>
    <t>(Accepts Grade 11 only)</t>
  </si>
  <si>
    <t>TRACK</t>
  </si>
  <si>
    <t>Academic</t>
  </si>
  <si>
    <t>SECTION</t>
  </si>
  <si>
    <r>
      <rPr>
        <b/>
        <i/>
        <sz val="9"/>
        <color rgb="FF002060"/>
        <rFont val="Arial"/>
        <charset val="134"/>
      </rPr>
      <t>IMPORTANT NOTE:</t>
    </r>
    <r>
      <rPr>
        <i/>
        <sz val="9"/>
        <color rgb="FF002060"/>
        <rFont val="Arial"/>
        <charset val="134"/>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</si>
  <si>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b/>
        <sz val="12"/>
        <color theme="1"/>
        <rFont val="Arial"/>
        <charset val="134"/>
      </rPr>
      <t xml:space="preserve">Sheet Protection Password: </t>
    </r>
    <r>
      <rPr>
        <b/>
        <sz val="12"/>
        <color rgb="FFFF0000"/>
        <rFont val="Arial"/>
        <charset val="134"/>
      </rPr>
      <t>password123</t>
    </r>
  </si>
  <si>
    <t>2026_v1.0</t>
  </si>
  <si>
    <t>CLASS SUMMARY</t>
  </si>
  <si>
    <t>FIRST TERM</t>
  </si>
  <si>
    <t>LEARNERS' NAMES</t>
  </si>
  <si>
    <t>Date of Birth</t>
  </si>
  <si>
    <t>Age</t>
  </si>
  <si>
    <t>Sex</t>
  </si>
  <si>
    <t>Learning Areas</t>
  </si>
  <si>
    <t>Core Subjects</t>
  </si>
  <si>
    <t>Elective Subjects</t>
  </si>
  <si>
    <t>Effective Communication and Mabisang Komunikasyon</t>
  </si>
  <si>
    <t>General Mathematics</t>
  </si>
  <si>
    <t>General Science</t>
  </si>
  <si>
    <t>Life and Career Skills</t>
  </si>
  <si>
    <t>PKLP</t>
  </si>
  <si>
    <t>Academic Elective 1</t>
  </si>
  <si>
    <t>Term Grade</t>
  </si>
  <si>
    <t>Effective Communication</t>
  </si>
  <si>
    <t>Mabisang Komunikasyon</t>
  </si>
  <si>
    <t>M</t>
  </si>
  <si>
    <t>F</t>
  </si>
  <si>
    <t>Needs more practice to improve understanding.</t>
  </si>
  <si>
    <t>Republic of the Philippines</t>
  </si>
  <si>
    <t>Month</t>
  </si>
  <si>
    <t>Jun</t>
  </si>
  <si>
    <t>Jul</t>
  </si>
  <si>
    <t>Aug</t>
  </si>
  <si>
    <t>Sep</t>
  </si>
  <si>
    <t>Oct</t>
  </si>
  <si>
    <t>Nov</t>
  </si>
  <si>
    <t>Dec</t>
  </si>
  <si>
    <t>Jan</t>
  </si>
  <si>
    <t>Feb</t>
  </si>
  <si>
    <t>Mar</t>
  </si>
  <si>
    <t>Apr</t>
  </si>
  <si>
    <t>Total</t>
  </si>
  <si>
    <t>Needs to work harder on difficult lessons.</t>
  </si>
  <si>
    <t>No. of Class Days</t>
  </si>
  <si>
    <t>Shows effort but needs more guidance.</t>
  </si>
  <si>
    <t>Can improve with more focus and effort.</t>
  </si>
  <si>
    <t>REGION IV - A (CALABARZON)</t>
  </si>
  <si>
    <t>No. of Days Present</t>
  </si>
  <si>
    <t>Needs to participate more in class.</t>
  </si>
  <si>
    <t>SCHOOLS DIVISION OF BATANGAS PROVINCE</t>
  </si>
  <si>
    <t>Shows potential but needs more practice.</t>
  </si>
  <si>
    <t>TALISAY DISTRICT</t>
  </si>
  <si>
    <t>No. of Days Absent</t>
  </si>
  <si>
    <t>Needs to improve study habits.</t>
  </si>
  <si>
    <t>TALISAY, BATANGAS</t>
  </si>
  <si>
    <t>Needs closer attention during discussions.</t>
  </si>
  <si>
    <t>Shows improvement but still needs practice.</t>
  </si>
  <si>
    <t>Needs to stay focused during activities.</t>
  </si>
  <si>
    <t>Should complete tasks on time.</t>
  </si>
  <si>
    <t>LEARNER'S PERFORMANCE REPORT</t>
  </si>
  <si>
    <t>TEACHER'S COMMENTS / REMARKS</t>
  </si>
  <si>
    <t>Needs to develop better study habits.</t>
  </si>
  <si>
    <t>School Year 2026-2027</t>
  </si>
  <si>
    <t>Term 1</t>
  </si>
  <si>
    <t>Shows satisfactory progress in class.</t>
  </si>
  <si>
    <t>Continues to improve in different areas.</t>
  </si>
  <si>
    <t>Name:</t>
  </si>
  <si>
    <t xml:space="preserve">  Age:</t>
  </si>
  <si>
    <t>Sex:</t>
  </si>
  <si>
    <t>Performs well with regular guidance.</t>
  </si>
  <si>
    <t>LRN:</t>
  </si>
  <si>
    <t xml:space="preserve">  Grade:</t>
  </si>
  <si>
    <t>Section:</t>
  </si>
  <si>
    <t>Shows good effort in completing tasks.</t>
  </si>
  <si>
    <t>Track (SHS only):</t>
  </si>
  <si>
    <t>Term 2</t>
  </si>
  <si>
    <t>Participates in class activities.</t>
  </si>
  <si>
    <t>Understands most of the lessons.</t>
  </si>
  <si>
    <t>Dear Parents,</t>
  </si>
  <si>
    <t>Shows steady progress this term.</t>
  </si>
  <si>
    <t>This Performance Report presents your child's progress and achievement</t>
  </si>
  <si>
    <t>Does well when given proper guidance.</t>
  </si>
  <si>
    <t>in the different learning areas.</t>
  </si>
  <si>
    <t>Term 3</t>
  </si>
  <si>
    <t>Completes most tasks on time.</t>
  </si>
  <si>
    <t>The school welcomes you to reach out should you wish to know more about your</t>
  </si>
  <si>
    <t>Shows willingness to learn.</t>
  </si>
  <si>
    <t>child's learning and performance.</t>
  </si>
  <si>
    <t>Has shown good improvement.</t>
  </si>
  <si>
    <t>Participates well during discussions.</t>
  </si>
  <si>
    <t>Can improve further with more effort.</t>
  </si>
  <si>
    <t>School Head</t>
  </si>
  <si>
    <t>Adviser</t>
  </si>
  <si>
    <t>PARENT/S GUARDIAN'S SIGNATURE</t>
  </si>
  <si>
    <t>Shows a positive attitude toward learning.</t>
  </si>
  <si>
    <t>LEARNING PROGRESS AND ACHIEVEMENT</t>
  </si>
  <si>
    <t>Works well during classroom activities.</t>
  </si>
  <si>
    <t>TERM</t>
  </si>
  <si>
    <t>Units</t>
  </si>
  <si>
    <t>Final Grade</t>
  </si>
  <si>
    <t>Remarks</t>
  </si>
  <si>
    <t>Continues to develop good study habits.</t>
  </si>
  <si>
    <t>T1</t>
  </si>
  <si>
    <t>T2</t>
  </si>
  <si>
    <t>T3</t>
  </si>
  <si>
    <t>Performs better when focused.</t>
  </si>
  <si>
    <t>Shows consistent effort in class.</t>
  </si>
  <si>
    <t>Effective Communication /Mabisang Komunikasyon</t>
  </si>
  <si>
    <t>CERTIFICATE OF TRANSFER</t>
  </si>
  <si>
    <t>Completes assigned activities responsibly.</t>
  </si>
  <si>
    <t xml:space="preserve">       Effective Communication</t>
  </si>
  <si>
    <t>This is to certify that the above-named learner has satisfactorily completed the requirements</t>
  </si>
  <si>
    <t>Can achieve more with continued effort.</t>
  </si>
  <si>
    <t xml:space="preserve">      Mabisang Komunikasyon</t>
  </si>
  <si>
    <t>for the grade level indicated.</t>
  </si>
  <si>
    <t>Shows excellent understanding of the lessons.</t>
  </si>
  <si>
    <t>Consistently performs well in class.</t>
  </si>
  <si>
    <t>Admitted to Grade:</t>
  </si>
  <si>
    <t>Shows strong interest in learning.</t>
  </si>
  <si>
    <t>Eligible for Admission to Grade:</t>
  </si>
  <si>
    <t>Completes tasks with confidence.</t>
  </si>
  <si>
    <t>Pag-Aaral ng Kasaysayan at Lipunang Pilipino</t>
  </si>
  <si>
    <t>Actively participates in discussions.</t>
  </si>
  <si>
    <t>Approved:</t>
  </si>
  <si>
    <t>Demonstrates excellent study habits.</t>
  </si>
  <si>
    <t>Shows initiative in classroom activities.</t>
  </si>
  <si>
    <t>Shows excellent progress this term.</t>
  </si>
  <si>
    <t>School  Head</t>
  </si>
  <si>
    <t>Works independently and responsibly.</t>
  </si>
  <si>
    <t>General Average</t>
  </si>
  <si>
    <t>Demonstrates strong skills and understanding.</t>
  </si>
  <si>
    <t>CANCELLATION OF ELIGIBILITY TO TRANSFER</t>
  </si>
  <si>
    <t>Shows leadership during group activities.</t>
  </si>
  <si>
    <t>PERFORMANCE DESCRIPTORS</t>
  </si>
  <si>
    <t>Continues to maintain excellent pertormance.</t>
  </si>
  <si>
    <t>Grading Scale</t>
  </si>
  <si>
    <t>Descriptors</t>
  </si>
  <si>
    <t>Admitted in:</t>
  </si>
  <si>
    <t>Date:</t>
  </si>
  <si>
    <t>90-100</t>
  </si>
  <si>
    <t>Advancing</t>
  </si>
  <si>
    <t>Passed</t>
  </si>
  <si>
    <t>80-89</t>
  </si>
  <si>
    <t>Benchmarking</t>
  </si>
  <si>
    <t>75-79</t>
  </si>
  <si>
    <t>Connecting</t>
  </si>
  <si>
    <t>65-74</t>
  </si>
  <si>
    <t>Developing</t>
  </si>
  <si>
    <t>Failed</t>
  </si>
  <si>
    <t>0-64</t>
  </si>
  <si>
    <t>Emerging</t>
  </si>
  <si>
    <t>NIÑO M. LUNA</t>
  </si>
  <si>
    <t>MEDICAL SCIENCE</t>
  </si>
  <si>
    <t>Alcaraz, Joshmond Cuntapay</t>
  </si>
  <si>
    <t>Cabrera, Carl James Almendras</t>
  </si>
  <si>
    <t>Cacal, Sydney Padilla</t>
  </si>
  <si>
    <t>Caringal, Raver</t>
  </si>
  <si>
    <t>De Grano, Andrey Jose Cabrera</t>
  </si>
  <si>
    <t>De Leon, Jherico Enriquez</t>
  </si>
  <si>
    <t>Dumalag, Matthew Oliver Caraan</t>
  </si>
  <si>
    <t>Hernandez, Nathan Jericho Santos</t>
  </si>
  <si>
    <t>Jumarang, Zaijan Charles Diola</t>
  </si>
  <si>
    <t>Mendoza, Ken Cyrus Villanueva</t>
  </si>
  <si>
    <t>Micua, Gerald De Leon</t>
  </si>
  <si>
    <t>Pascua, Reinald Morta</t>
  </si>
  <si>
    <t>Seña, John Joseph Nayangga</t>
  </si>
  <si>
    <t>Velasco, Jake Nixon Lanzanas</t>
  </si>
  <si>
    <t>08/19/2010</t>
  </si>
  <si>
    <t>2/25/2010</t>
  </si>
  <si>
    <t>08/17/2010</t>
  </si>
  <si>
    <t>11/24/2008</t>
  </si>
  <si>
    <t>12/22/2009</t>
  </si>
  <si>
    <t>03/14/2010</t>
  </si>
  <si>
    <t>02/17/2010</t>
  </si>
  <si>
    <t>Agustin, Maria Isabelle Maballo</t>
  </si>
  <si>
    <t>08/28/2010</t>
  </si>
  <si>
    <t>Barba, Jewel Caraan</t>
  </si>
  <si>
    <t>1/31/2010</t>
  </si>
  <si>
    <t>Bartolome, Anne Joyce Alido</t>
  </si>
  <si>
    <t>4/29/2010</t>
  </si>
  <si>
    <t>Batallon, Lea Joy Aropon</t>
  </si>
  <si>
    <t>Blanco, Nica Ella Tolentino</t>
  </si>
  <si>
    <t>Cumabig, Trishia Nicole Blanco</t>
  </si>
  <si>
    <t>Diomampo, Judy Lyn De Chavez</t>
  </si>
  <si>
    <t>11/21/2009</t>
  </si>
  <si>
    <t>Diones, Alexi Faye Dela Cruz</t>
  </si>
  <si>
    <t>Galea, Jamica Rasco</t>
  </si>
  <si>
    <t>8/30/2010</t>
  </si>
  <si>
    <t>Guevarra, Carlyn Avendaño</t>
  </si>
  <si>
    <t>Hilario, Patricia Gail Galisanao</t>
  </si>
  <si>
    <t>Jamila, Newrey Miaca Almendras</t>
  </si>
  <si>
    <t>11/28/2009</t>
  </si>
  <si>
    <t>Lacatan, Heart Anne Zamudio</t>
  </si>
  <si>
    <t>2/14/2010</t>
  </si>
  <si>
    <t>Laluna, Francess Brianna Balazon</t>
  </si>
  <si>
    <t>Licmo, Sheeona Pecate</t>
  </si>
  <si>
    <t>5/15/2010</t>
  </si>
  <si>
    <t>Malabanan, Althea Viel</t>
  </si>
  <si>
    <t>11/19/2009</t>
  </si>
  <si>
    <t>Malabanan, Donalyn Monleon</t>
  </si>
  <si>
    <t>Malabanan, Femme Zyrene Pablo</t>
  </si>
  <si>
    <t>11/24/2009</t>
  </si>
  <si>
    <t>Marca, Leyra Ann Almacha</t>
  </si>
  <si>
    <t>8/23/2010</t>
  </si>
  <si>
    <t>Maurillo, Althea Monica Canlobo</t>
  </si>
  <si>
    <t>Marasigan, Clarisse Mapili</t>
  </si>
  <si>
    <t>Mendoza, Dianne Solis</t>
  </si>
  <si>
    <t>Mission, Ruzhel Ann Llanos</t>
  </si>
  <si>
    <t>05/13/2009</t>
  </si>
  <si>
    <t>Opo, Krystal Mae Bacatan</t>
  </si>
  <si>
    <t>7/29/2010</t>
  </si>
  <si>
    <t>Orlanes, Janea Daphnie Cacao</t>
  </si>
  <si>
    <t>Salagantin, Jahanara Mendoza</t>
  </si>
  <si>
    <t>10/13/2010</t>
  </si>
  <si>
    <t>Sta. Isabel, Mary Antonette De Sagun</t>
  </si>
  <si>
    <t>Suarez, Elijah Quirsten Miranda</t>
  </si>
  <si>
    <t>Suaybaguio, Mika Jean Blaza</t>
  </si>
  <si>
    <t>10/31/2010</t>
  </si>
  <si>
    <t>Villa, Danica Polinio</t>
  </si>
  <si>
    <t>Biology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</si>
</sst>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53">
    <font>
      <sz val="10"/>
      <color rgb="FF000000"/>
      <name val="Arial"/>
      <charset val="134"/>
      <scheme val="minor"/>
    </font>
    <font>
      <sz val="10"/>
      <color rgb="FF000000"/>
      <name val="Arial"/>
      <charset val="134"/>
    </font>
    <font>
      <sz val="10"/>
      <name val="Arial"/>
      <charset val="134"/>
    </font>
    <font>
      <b/>
      <sz val="10"/>
      <color rgb="FF000000"/>
      <name val="Arial"/>
      <charset val="134"/>
    </font>
    <font>
      <b/>
      <sz val="11"/>
      <color rgb="FF000000"/>
      <name val="Arial"/>
      <charset val="134"/>
    </font>
    <font>
      <sz val="10"/>
      <color theme="1"/>
      <name val="Arial"/>
      <charset val="134"/>
    </font>
    <font>
      <b/>
      <sz val="10"/>
      <color theme="1"/>
      <name val="Arial"/>
      <charset val="134"/>
    </font>
    <font>
      <sz val="11"/>
      <color theme="1"/>
      <name val="Arial"/>
      <charset val="134"/>
    </font>
    <font>
      <b/>
      <sz val="11"/>
      <color theme="1"/>
      <name val="Arial"/>
      <charset val="134"/>
    </font>
    <font>
      <b/>
      <sz val="12"/>
      <color theme="1"/>
      <name val="Arial"/>
      <charset val="134"/>
    </font>
    <font>
      <sz val="12"/>
      <color theme="1"/>
      <name val="Arial"/>
      <charset val="134"/>
    </font>
    <font>
      <sz val="12"/>
      <color theme="1"/>
      <name val="Bookman Old Style"/>
      <charset val="134"/>
    </font>
    <font>
      <b/>
      <sz val="12"/>
      <color theme="1"/>
      <name val="Bookman Old Style"/>
      <charset val="134"/>
    </font>
    <font>
      <b/>
      <sz val="12"/>
      <color theme="1"/>
      <name val="Bookman Old Style"/>
      <charset val="134"/>
    </font>
    <font>
      <b/>
      <sz val="10"/>
      <color rgb="FF000000"/>
      <name val="Arial"/>
      <charset val="134"/>
      <scheme val="minor"/>
    </font>
    <font>
      <b/>
      <sz val="11"/>
      <color theme="1"/>
      <name val="Bookman Old Style"/>
      <charset val="134"/>
    </font>
    <font>
      <b/>
      <sz val="12"/>
      <color rgb="FF000000"/>
      <name val="Bookman Old Style"/>
      <charset val="134"/>
    </font>
    <font>
      <sz val="12"/>
      <color rgb="FF000000"/>
      <name val="Bookman Old Style"/>
      <charset val="134"/>
    </font>
    <font>
      <b/>
      <i/>
      <sz val="12"/>
      <color theme="1"/>
      <name val="Bookman Old Style"/>
      <charset val="134"/>
    </font>
    <font>
      <sz val="12"/>
      <color theme="0"/>
      <name val="Bookman Old Style"/>
      <charset val="134"/>
    </font>
    <font>
      <i/>
      <sz val="12"/>
      <color rgb="FF000000"/>
      <name val="Bookman Old Style"/>
      <charset val="134"/>
    </font>
    <font>
      <b/>
      <i/>
      <sz val="12"/>
      <color rgb="FF000000"/>
      <name val="Bookman Old Style"/>
      <charset val="134"/>
    </font>
    <font>
      <sz val="12"/>
      <color theme="0"/>
      <name val="Arial"/>
      <charset val="134"/>
    </font>
    <font>
      <b/>
      <i/>
      <sz val="14"/>
      <color rgb="FF000000"/>
      <name val="Bookman Old Style"/>
      <charset val="134"/>
    </font>
    <font>
      <b/>
      <sz val="14"/>
      <color rgb="FF000000"/>
      <name val="Bookman Old Style"/>
      <charset val="134"/>
    </font>
    <font>
      <b/>
      <sz val="14"/>
      <color theme="1"/>
      <name val="Bookman Old Style"/>
      <charset val="134"/>
    </font>
    <font>
      <b/>
      <sz val="23"/>
      <color theme="1"/>
      <name val="Arial"/>
      <charset val="134"/>
    </font>
    <font>
      <b/>
      <sz val="20"/>
      <color theme="1"/>
      <name val="Arial"/>
      <charset val="134"/>
    </font>
    <font>
      <b/>
      <sz val="15"/>
      <color theme="1"/>
      <name val="Arial"/>
      <charset val="134"/>
    </font>
    <font>
      <b/>
      <i/>
      <sz val="9"/>
      <color theme="1"/>
      <name val="Arial"/>
      <charset val="134"/>
    </font>
    <font>
      <b/>
      <sz val="9"/>
      <color theme="1"/>
      <name val="Arial"/>
      <charset val="134"/>
    </font>
    <font>
      <b/>
      <i/>
      <sz val="9"/>
      <color theme="1"/>
      <name val="Arial"/>
      <charset val="134"/>
    </font>
    <font>
      <sz val="11"/>
      <color theme="1"/>
      <name val="Arial"/>
      <charset val="134"/>
    </font>
    <font>
      <b/>
      <sz val="22"/>
      <color rgb="FF002060"/>
      <name val="Arial"/>
      <charset val="134"/>
    </font>
    <font>
      <b/>
      <sz val="11"/>
      <color rgb="FFFFFFFF"/>
      <name val="Arial"/>
      <charset val="134"/>
    </font>
    <font>
      <b/>
      <sz val="11"/>
      <color rgb="FF002060"/>
      <name val="Arial"/>
      <charset val="134"/>
    </font>
    <font>
      <sz val="11"/>
      <color indexed="8"/>
      <name val="Calibri"/>
      <charset val="134"/>
    </font>
    <font>
      <sz val="11"/>
      <color theme="1"/>
      <name val="Calibri"/>
      <charset val="134"/>
    </font>
    <font>
      <i/>
      <sz val="11"/>
      <color rgb="FF002060"/>
      <name val="Arial"/>
      <charset val="134"/>
    </font>
    <font>
      <i/>
      <sz val="9"/>
      <color rgb="FF002060"/>
      <name val="Arial"/>
      <charset val="134"/>
    </font>
    <font>
      <i/>
      <sz val="8"/>
      <color theme="1"/>
      <name val="Arial"/>
      <charset val="134"/>
    </font>
    <font>
      <b/>
      <i/>
      <sz val="9"/>
      <color rgb="FF002060"/>
      <name val="Arial"/>
      <charset val="134"/>
    </font>
    <font>
      <b/>
      <sz val="12"/>
      <color rgb="FFFF0000"/>
      <name val="Arial"/>
      <charset val="134"/>
    </font>
    <font>
      <sz val="11"/>
      <color rgb="FF000000"/>
      <name val="Calibri"/>
      <family val="2"/>
    </font>
    <font>
      <sz val="11"/>
      <color theme="1"/>
      <name val="Arial"/>
      <family val="2"/>
    </font>
    <font>
      <b/>
      <sz val="9"/>
      <name val="Arial"/>
      <family val="2"/>
    </font>
    <font>
      <b/>
      <sz val="12"/>
      <color theme="1"/>
      <name val="Bookman Old Style"/>
      <family val="1"/>
    </font>
    <font>
      <b/>
      <sz val="10"/>
      <name val="Arial"/>
      <family val="2"/>
    </font>
    <font>
      <sz val="12"/>
      <color rgb="FF000000"/>
      <name val="Bookman Old Style"/>
      <family val="1"/>
    </font>
    <font>
      <sz val="12"/>
      <color theme="0"/>
      <name val="Bookman Old Style"/>
      <family val="1"/>
    </font>
    <font>
      <b/>
      <sz val="12"/>
      <color theme="0"/>
      <name val="Bookman Old Style"/>
      <family val="1"/>
    </font>
    <font>
      <sz val="10"/>
      <color theme="0"/>
      <name val="Arial"/>
      <family val="2"/>
    </font>
    <font>
      <b/>
      <sz val="7"/>
      <color theme="1"/>
      <name val="Bookman Old Style"/>
      <family val="1"/>
    </font>
  </fonts>
  <fills count="12">
    <fill>
      <patternFill patternType="none"/>
    </fill>
    <fill>
      <patternFill patternType="gray125"/>
    </fill>
    <fill>
      <patternFill patternType="solid">
        <fgColor rgb="FF002060"/>
        <bgColor rgb="FF002060"/>
      </patternFill>
    </fill>
    <fill>
      <patternFill patternType="solid">
        <fgColor rgb="FFFFFFFF"/>
        <bgColor rgb="FFFFFFFF"/>
      </patternFill>
    </fill>
    <fill>
      <patternFill patternType="solid">
        <fgColor rgb="FFCCCCCC"/>
        <bgColor rgb="FFCCCCCC"/>
      </patternFill>
    </fill>
    <fill>
      <patternFill patternType="solid">
        <fgColor theme="0"/>
        <bgColor rgb="FFA5A5A5"/>
      </patternFill>
    </fill>
    <fill>
      <patternFill patternType="solid">
        <fgColor rgb="FFF2F2F2"/>
        <bgColor rgb="FFF2F2F2"/>
      </patternFill>
    </fill>
    <fill>
      <patternFill patternType="solid">
        <fgColor rgb="FFE7E6E6"/>
        <bgColor rgb="FFE7E6E6"/>
      </patternFill>
    </fill>
    <fill>
      <patternFill patternType="solid">
        <fgColor rgb="FFFFFFFF"/>
        <bgColor indexed="64"/>
      </patternFill>
    </fill>
    <fill>
      <patternFill patternType="solid">
        <fgColor theme="0"/>
        <bgColor theme="0"/>
      </patternFill>
    </fill>
    <fill>
      <patternFill patternType="solid">
        <fgColor rgb="FFD8D8D8"/>
        <bgColor rgb="FFD8D8D8"/>
      </patternFill>
    </fill>
    <fill>
      <patternFill patternType="solid">
        <fgColor theme="0"/>
        <bgColor indexed="64"/>
      </patternFill>
    </fill>
  </fills>
  <borders count="55">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right/>
      <top style="medium">
        <color rgb="FF000000"/>
      </top>
      <bottom style="thin">
        <color rgb="FF000000"/>
      </bottom>
      <diagonal/>
    </border>
    <border>
      <left style="medium">
        <color rgb="FF000000"/>
      </left>
      <right/>
      <top style="thin">
        <color rgb="FF000000"/>
      </top>
      <bottom/>
      <diagonal/>
    </border>
    <border>
      <left style="medium">
        <color rgb="FF000000"/>
      </left>
      <right/>
      <top style="thin">
        <color rgb="FF000000"/>
      </top>
      <bottom style="medium">
        <color rgb="FF000000"/>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270">
    <xf numFmtId="0" fontId="0" fillId="0" borderId="0" xfId="0"/>
    <xf numFmtId="0" fontId="1" fillId="0" borderId="0" xfId="0" applyFont="1"/>
    <xf numFmtId="0" fontId="5"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xf numFmtId="0" fontId="10" fillId="0" borderId="0" xfId="0" applyFont="1"/>
    <xf numFmtId="0" fontId="11" fillId="0" borderId="0" xfId="0" applyFont="1"/>
    <xf numFmtId="0" fontId="11" fillId="0" borderId="0" xfId="0" applyFont="1" applyAlignment="1">
      <alignment horizontal="center"/>
    </xf>
    <xf numFmtId="0" fontId="12" fillId="0" borderId="5" xfId="0" applyFont="1" applyBorder="1" applyAlignment="1">
      <alignment horizontal="center" vertical="center"/>
    </xf>
    <xf numFmtId="0" fontId="12" fillId="0" borderId="0" xfId="0" applyFont="1" applyAlignment="1">
      <alignment horizontal="center"/>
    </xf>
    <xf numFmtId="0" fontId="11" fillId="0" borderId="0" xfId="0" applyFont="1" applyAlignment="1">
      <alignment horizontal="left"/>
    </xf>
    <xf numFmtId="0" fontId="11" fillId="0" borderId="0" xfId="0" applyFont="1" applyAlignment="1">
      <alignment horizontal="right"/>
    </xf>
    <xf numFmtId="0" fontId="11" fillId="0" borderId="36" xfId="0" applyFont="1" applyBorder="1"/>
    <xf numFmtId="0" fontId="5" fillId="0" borderId="36" xfId="0" applyFont="1" applyBorder="1"/>
    <xf numFmtId="0" fontId="12" fillId="0" borderId="0" xfId="0" applyFont="1" applyAlignment="1">
      <alignment horizontal="center" vertical="center"/>
    </xf>
    <xf numFmtId="0" fontId="11" fillId="0" borderId="0" xfId="0" applyFont="1" applyAlignment="1">
      <alignment wrapText="1"/>
    </xf>
    <xf numFmtId="0" fontId="10" fillId="0" borderId="22" xfId="0" applyFont="1" applyBorder="1"/>
    <xf numFmtId="4" fontId="17" fillId="0" borderId="0" xfId="0" applyNumberFormat="1" applyFont="1" applyAlignment="1">
      <alignment horizontal="left" wrapText="1"/>
    </xf>
    <xf numFmtId="3" fontId="11" fillId="0" borderId="5" xfId="0" applyNumberFormat="1" applyFont="1" applyBorder="1" applyAlignment="1">
      <alignment horizontal="center" vertical="center"/>
    </xf>
    <xf numFmtId="3" fontId="12" fillId="0" borderId="5" xfId="0" applyNumberFormat="1" applyFont="1" applyBorder="1" applyAlignment="1">
      <alignment horizontal="center" vertical="center"/>
    </xf>
    <xf numFmtId="0" fontId="19" fillId="0" borderId="0" xfId="0" applyFont="1"/>
    <xf numFmtId="3" fontId="11" fillId="0" borderId="5" xfId="0" applyNumberFormat="1" applyFont="1" applyBorder="1" applyAlignment="1">
      <alignment vertical="center"/>
    </xf>
    <xf numFmtId="0" fontId="11" fillId="0" borderId="22" xfId="0" applyFont="1" applyBorder="1"/>
    <xf numFmtId="3" fontId="17" fillId="0" borderId="5" xfId="0" applyNumberFormat="1" applyFont="1" applyBorder="1" applyAlignment="1">
      <alignment horizontal="center" vertical="center" wrapText="1"/>
    </xf>
    <xf numFmtId="4" fontId="20" fillId="0" borderId="0" xfId="0" applyNumberFormat="1" applyFont="1" applyAlignment="1">
      <alignment horizontal="left" wrapText="1"/>
    </xf>
    <xf numFmtId="0" fontId="22" fillId="0" borderId="0" xfId="0" applyFont="1"/>
    <xf numFmtId="4" fontId="21" fillId="0" borderId="0" xfId="0" applyNumberFormat="1" applyFont="1" applyAlignment="1">
      <alignment horizontal="center" wrapText="1"/>
    </xf>
    <xf numFmtId="3" fontId="17" fillId="5" borderId="5" xfId="0" applyNumberFormat="1" applyFont="1" applyFill="1" applyBorder="1" applyAlignment="1">
      <alignment horizontal="center" vertical="center" wrapText="1"/>
    </xf>
    <xf numFmtId="3" fontId="23" fillId="5" borderId="5" xfId="0" applyNumberFormat="1" applyFont="1" applyFill="1" applyBorder="1" applyAlignment="1">
      <alignment vertical="center" wrapText="1"/>
    </xf>
    <xf numFmtId="3" fontId="16" fillId="0" borderId="5" xfId="0" applyNumberFormat="1" applyFont="1" applyBorder="1" applyAlignment="1">
      <alignment horizontal="center" vertical="center" wrapText="1"/>
    </xf>
    <xf numFmtId="0" fontId="12" fillId="0" borderId="0" xfId="0" applyFont="1"/>
    <xf numFmtId="3" fontId="24" fillId="0" borderId="5" xfId="0" applyNumberFormat="1" applyFont="1" applyBorder="1" applyAlignment="1">
      <alignment horizontal="center" vertical="center" wrapText="1"/>
    </xf>
    <xf numFmtId="3" fontId="25" fillId="0" borderId="5" xfId="0" applyNumberFormat="1"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left" vertical="center"/>
    </xf>
    <xf numFmtId="0" fontId="9" fillId="0" borderId="0" xfId="0" applyFont="1" applyAlignment="1">
      <alignment horizontal="right" vertical="center"/>
    </xf>
    <xf numFmtId="0" fontId="7" fillId="0" borderId="0" xfId="0" applyFont="1" applyAlignment="1">
      <alignment vertical="center"/>
    </xf>
    <xf numFmtId="0" fontId="7" fillId="0" borderId="0" xfId="0" applyFont="1" applyAlignment="1">
      <alignment horizontal="center" vertical="center"/>
    </xf>
    <xf numFmtId="0" fontId="10" fillId="0" borderId="0" xfId="0" applyFont="1" applyAlignment="1">
      <alignment horizontal="left" vertical="center" wrapText="1"/>
    </xf>
    <xf numFmtId="0" fontId="6" fillId="0" borderId="0" xfId="0" applyFont="1" applyAlignment="1">
      <alignment horizontal="center" vertical="center" wrapText="1"/>
    </xf>
    <xf numFmtId="0" fontId="8" fillId="0" borderId="19" xfId="0" applyFont="1" applyBorder="1" applyAlignment="1">
      <alignment horizontal="left" vertical="center"/>
    </xf>
    <xf numFmtId="0" fontId="8" fillId="0" borderId="42" xfId="0" applyFont="1" applyBorder="1" applyAlignment="1">
      <alignment horizontal="left" vertical="center"/>
    </xf>
    <xf numFmtId="0" fontId="29" fillId="0" borderId="1"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1" xfId="0" applyFont="1" applyBorder="1" applyAlignment="1">
      <alignment horizontal="center" vertical="center" wrapText="1"/>
    </xf>
    <xf numFmtId="0" fontId="3" fillId="3" borderId="21" xfId="0" applyFont="1" applyFill="1" applyBorder="1" applyAlignment="1">
      <alignment horizontal="center" vertical="center"/>
    </xf>
    <xf numFmtId="164" fontId="7" fillId="6" borderId="44" xfId="0" applyNumberFormat="1" applyFont="1" applyFill="1" applyBorder="1" applyAlignment="1">
      <alignment horizontal="center" vertical="center"/>
    </xf>
    <xf numFmtId="0" fontId="7" fillId="6" borderId="7" xfId="0" applyFont="1" applyFill="1" applyBorder="1" applyAlignment="1">
      <alignment horizontal="center" vertical="center"/>
    </xf>
    <xf numFmtId="0" fontId="7" fillId="0" borderId="45" xfId="0" applyFont="1" applyBorder="1" applyAlignment="1">
      <alignment horizontal="center" vertical="center"/>
    </xf>
    <xf numFmtId="0" fontId="3" fillId="3" borderId="25" xfId="0" applyFont="1" applyFill="1" applyBorder="1" applyAlignment="1">
      <alignment horizontal="center" vertical="center"/>
    </xf>
    <xf numFmtId="164" fontId="7" fillId="6" borderId="2" xfId="0" applyNumberFormat="1" applyFont="1" applyFill="1" applyBorder="1" applyAlignment="1">
      <alignment horizontal="center" vertical="center"/>
    </xf>
    <xf numFmtId="0" fontId="7" fillId="6" borderId="9" xfId="0" applyFont="1" applyFill="1" applyBorder="1" applyAlignment="1">
      <alignment horizontal="center" vertical="center"/>
    </xf>
    <xf numFmtId="0" fontId="7" fillId="0" borderId="47" xfId="0" applyFont="1" applyBorder="1" applyAlignment="1">
      <alignment horizontal="center" vertical="center"/>
    </xf>
    <xf numFmtId="0" fontId="7" fillId="0" borderId="9" xfId="0" applyFont="1" applyBorder="1" applyAlignment="1">
      <alignment horizontal="center" vertical="center"/>
    </xf>
    <xf numFmtId="0" fontId="3" fillId="3" borderId="27" xfId="0" applyFont="1" applyFill="1" applyBorder="1" applyAlignment="1">
      <alignment horizontal="center" vertical="center"/>
    </xf>
    <xf numFmtId="0" fontId="7" fillId="0" borderId="48" xfId="0" applyFont="1" applyBorder="1" applyAlignment="1">
      <alignment horizontal="center" vertical="center"/>
    </xf>
    <xf numFmtId="0" fontId="7" fillId="0" borderId="49" xfId="0" applyFont="1" applyBorder="1" applyAlignment="1">
      <alignment horizontal="center" vertical="center"/>
    </xf>
    <xf numFmtId="0" fontId="3" fillId="3" borderId="29" xfId="0" applyFont="1" applyFill="1" applyBorder="1" applyAlignment="1">
      <alignment horizontal="center" vertical="center"/>
    </xf>
    <xf numFmtId="164" fontId="7" fillId="6" borderId="28" xfId="0" applyNumberFormat="1" applyFont="1" applyFill="1" applyBorder="1" applyAlignment="1">
      <alignment horizontal="center" vertical="center"/>
    </xf>
    <xf numFmtId="0" fontId="7" fillId="6" borderId="10" xfId="0" applyFont="1" applyFill="1" applyBorder="1" applyAlignment="1">
      <alignment horizontal="center" vertical="center"/>
    </xf>
    <xf numFmtId="0" fontId="7" fillId="0" borderId="32" xfId="0" applyFont="1" applyBorder="1" applyAlignment="1">
      <alignment horizontal="center" vertical="center"/>
    </xf>
    <xf numFmtId="0" fontId="7" fillId="0" borderId="10" xfId="0" applyFont="1" applyBorder="1" applyAlignment="1">
      <alignment horizontal="center" vertical="center"/>
    </xf>
    <xf numFmtId="0" fontId="9" fillId="4" borderId="19" xfId="0" applyFont="1" applyFill="1" applyBorder="1" applyAlignment="1">
      <alignment horizontal="left" vertical="center"/>
    </xf>
    <xf numFmtId="0" fontId="9" fillId="4" borderId="17" xfId="0" applyFont="1" applyFill="1" applyBorder="1" applyAlignment="1">
      <alignment horizontal="left" vertical="center"/>
    </xf>
    <xf numFmtId="0" fontId="9" fillId="4" borderId="13" xfId="0" applyFont="1" applyFill="1" applyBorder="1" applyAlignment="1">
      <alignment horizontal="left" vertical="center"/>
    </xf>
    <xf numFmtId="0" fontId="9" fillId="4" borderId="0" xfId="0" applyFont="1" applyFill="1" applyAlignment="1">
      <alignment horizontal="left" vertical="center"/>
    </xf>
    <xf numFmtId="0" fontId="9" fillId="4" borderId="12" xfId="0" applyFont="1" applyFill="1" applyBorder="1" applyAlignment="1">
      <alignment horizontal="left" vertical="center"/>
    </xf>
    <xf numFmtId="164" fontId="7" fillId="6" borderId="24" xfId="0" applyNumberFormat="1" applyFont="1" applyFill="1" applyBorder="1" applyAlignment="1">
      <alignment horizontal="center" vertical="center"/>
    </xf>
    <xf numFmtId="164" fontId="7" fillId="6" borderId="26" xfId="0" applyNumberFormat="1" applyFont="1" applyFill="1" applyBorder="1" applyAlignment="1">
      <alignment horizontal="center" vertical="center"/>
    </xf>
    <xf numFmtId="0" fontId="7" fillId="0" borderId="46" xfId="0" applyFont="1" applyBorder="1" applyAlignment="1">
      <alignment horizontal="center" vertical="center"/>
    </xf>
    <xf numFmtId="0" fontId="7" fillId="0" borderId="51" xfId="0" applyFont="1" applyBorder="1" applyAlignment="1">
      <alignment horizontal="center" vertical="center"/>
    </xf>
    <xf numFmtId="0" fontId="7" fillId="0" borderId="52" xfId="0" applyFont="1" applyBorder="1" applyAlignment="1">
      <alignment horizontal="center" vertical="center"/>
    </xf>
    <xf numFmtId="0" fontId="31" fillId="0" borderId="42" xfId="0" applyFont="1" applyBorder="1" applyAlignment="1">
      <alignment horizontal="center" vertical="center" wrapText="1"/>
    </xf>
    <xf numFmtId="0" fontId="7" fillId="6" borderId="45" xfId="0" applyFont="1" applyFill="1" applyBorder="1" applyAlignment="1">
      <alignment horizontal="center" vertical="center"/>
    </xf>
    <xf numFmtId="0" fontId="7" fillId="6" borderId="47" xfId="0" applyFont="1" applyFill="1" applyBorder="1" applyAlignment="1">
      <alignment horizontal="center" vertical="center"/>
    </xf>
    <xf numFmtId="0" fontId="32" fillId="6" borderId="47" xfId="0" applyFont="1" applyFill="1" applyBorder="1" applyAlignment="1">
      <alignment horizontal="center" vertical="center"/>
    </xf>
    <xf numFmtId="164" fontId="7" fillId="6" borderId="30" xfId="0" applyNumberFormat="1" applyFont="1" applyFill="1" applyBorder="1" applyAlignment="1">
      <alignment horizontal="center" vertical="center"/>
    </xf>
    <xf numFmtId="0" fontId="7" fillId="6" borderId="32" xfId="0" applyFont="1" applyFill="1" applyBorder="1" applyAlignment="1">
      <alignment horizontal="center" vertical="center"/>
    </xf>
    <xf numFmtId="0" fontId="7" fillId="6" borderId="14" xfId="0" applyFont="1" applyFill="1" applyBorder="1" applyAlignment="1">
      <alignment vertical="center"/>
    </xf>
    <xf numFmtId="0" fontId="7" fillId="6" borderId="0" xfId="0" applyFont="1" applyFill="1" applyAlignment="1">
      <alignment vertical="center"/>
    </xf>
    <xf numFmtId="0" fontId="7" fillId="6" borderId="15" xfId="0" applyFont="1" applyFill="1" applyBorder="1" applyAlignment="1">
      <alignment vertical="center"/>
    </xf>
    <xf numFmtId="0" fontId="35" fillId="3" borderId="3" xfId="0" applyFont="1" applyFill="1" applyBorder="1" applyAlignment="1">
      <alignment horizontal="center" vertical="center"/>
    </xf>
    <xf numFmtId="0" fontId="7" fillId="3" borderId="3" xfId="0" applyFont="1" applyFill="1" applyBorder="1" applyAlignment="1">
      <alignment vertical="center"/>
    </xf>
    <xf numFmtId="0" fontId="34" fillId="2" borderId="2" xfId="0" applyFont="1" applyFill="1" applyBorder="1" applyAlignment="1">
      <alignment vertical="center"/>
    </xf>
    <xf numFmtId="0" fontId="7" fillId="2" borderId="4" xfId="0" applyFont="1" applyFill="1" applyBorder="1" applyAlignment="1">
      <alignment vertical="center"/>
    </xf>
    <xf numFmtId="0" fontId="34" fillId="2" borderId="0" xfId="0" applyFont="1" applyFill="1" applyAlignment="1">
      <alignment horizontal="center"/>
    </xf>
    <xf numFmtId="0" fontId="7" fillId="2" borderId="5" xfId="0" applyFont="1" applyFill="1" applyBorder="1" applyAlignment="1">
      <alignment vertical="center"/>
    </xf>
    <xf numFmtId="0" fontId="7" fillId="3" borderId="4" xfId="0" applyFont="1" applyFill="1" applyBorder="1" applyAlignment="1">
      <alignment vertical="center"/>
    </xf>
    <xf numFmtId="0" fontId="35" fillId="3" borderId="5" xfId="0" applyFont="1" applyFill="1" applyBorder="1" applyAlignment="1">
      <alignment horizontal="center" vertical="center"/>
    </xf>
    <xf numFmtId="0" fontId="36" fillId="8" borderId="53" xfId="0" applyFont="1" applyFill="1" applyBorder="1" applyProtection="1">
      <protection locked="0"/>
    </xf>
    <xf numFmtId="1" fontId="36" fillId="8" borderId="53" xfId="0" applyNumberFormat="1" applyFont="1" applyFill="1" applyBorder="1" applyAlignment="1" applyProtection="1">
      <alignment horizontal="center" vertical="center"/>
      <protection locked="0"/>
    </xf>
    <xf numFmtId="0" fontId="36" fillId="0" borderId="53" xfId="0" applyFont="1" applyBorder="1" applyProtection="1">
      <protection locked="0"/>
    </xf>
    <xf numFmtId="0" fontId="36" fillId="8" borderId="53" xfId="0" applyFont="1" applyFill="1" applyBorder="1" applyAlignment="1" applyProtection="1">
      <alignment vertical="center"/>
      <protection locked="0"/>
    </xf>
    <xf numFmtId="0" fontId="7" fillId="3" borderId="36" xfId="0" applyFont="1" applyFill="1" applyBorder="1" applyAlignment="1">
      <alignment horizontal="left" vertical="center"/>
    </xf>
    <xf numFmtId="0" fontId="5" fillId="0" borderId="4" xfId="0" applyFont="1" applyBorder="1" applyAlignment="1">
      <alignment horizontal="left"/>
    </xf>
    <xf numFmtId="0" fontId="35" fillId="3" borderId="35" xfId="0" applyFont="1" applyFill="1" applyBorder="1" applyAlignment="1">
      <alignment vertical="center"/>
    </xf>
    <xf numFmtId="0" fontId="35" fillId="3" borderId="36" xfId="0" applyFont="1" applyFill="1" applyBorder="1" applyAlignment="1">
      <alignment horizontal="center" vertical="center"/>
    </xf>
    <xf numFmtId="0" fontId="7" fillId="3" borderId="3" xfId="0" applyFont="1" applyFill="1" applyBorder="1" applyAlignment="1">
      <alignment horizontal="left" vertical="center"/>
    </xf>
    <xf numFmtId="0" fontId="7" fillId="3" borderId="5" xfId="0" applyFont="1" applyFill="1" applyBorder="1" applyAlignment="1">
      <alignment vertical="center"/>
    </xf>
    <xf numFmtId="1" fontId="7" fillId="3" borderId="5" xfId="0" applyNumberFormat="1" applyFont="1" applyFill="1" applyBorder="1" applyAlignment="1">
      <alignment vertical="center"/>
    </xf>
    <xf numFmtId="164" fontId="7" fillId="3" borderId="5" xfId="0" applyNumberFormat="1" applyFont="1" applyFill="1" applyBorder="1" applyAlignment="1">
      <alignment vertical="center"/>
    </xf>
    <xf numFmtId="0" fontId="7" fillId="6" borderId="19" xfId="0" applyFont="1" applyFill="1" applyBorder="1" applyAlignment="1">
      <alignment vertical="center"/>
    </xf>
    <xf numFmtId="0" fontId="7" fillId="6" borderId="17" xfId="0" applyFont="1" applyFill="1" applyBorder="1" applyAlignment="1">
      <alignment vertical="center"/>
    </xf>
    <xf numFmtId="0" fontId="7" fillId="6" borderId="20" xfId="0" applyFont="1" applyFill="1" applyBorder="1" applyAlignment="1">
      <alignment vertical="center"/>
    </xf>
    <xf numFmtId="0" fontId="7" fillId="3" borderId="36" xfId="0" applyFont="1" applyFill="1" applyBorder="1" applyAlignment="1">
      <alignment vertical="center"/>
    </xf>
    <xf numFmtId="0" fontId="38" fillId="3" borderId="4" xfId="0" applyFont="1" applyFill="1" applyBorder="1" applyAlignment="1">
      <alignment vertical="center"/>
    </xf>
    <xf numFmtId="0" fontId="35" fillId="3" borderId="40" xfId="0" applyFont="1" applyFill="1" applyBorder="1" applyAlignment="1">
      <alignment vertical="center"/>
    </xf>
    <xf numFmtId="0" fontId="7" fillId="3" borderId="22" xfId="0" applyFont="1" applyFill="1" applyBorder="1" applyAlignment="1">
      <alignment vertical="center"/>
    </xf>
    <xf numFmtId="0" fontId="35" fillId="3" borderId="22" xfId="0" applyFont="1" applyFill="1" applyBorder="1" applyAlignment="1">
      <alignment horizontal="center" vertical="center"/>
    </xf>
    <xf numFmtId="0" fontId="39" fillId="6" borderId="0" xfId="0" applyFont="1" applyFill="1" applyAlignment="1">
      <alignment wrapText="1"/>
    </xf>
    <xf numFmtId="0" fontId="5" fillId="6" borderId="0" xfId="0" applyFont="1" applyFill="1"/>
    <xf numFmtId="1" fontId="36" fillId="0" borderId="53" xfId="0" applyNumberFormat="1" applyFont="1" applyBorder="1" applyAlignment="1" applyProtection="1">
      <alignment horizontal="center" vertical="center"/>
      <protection locked="0"/>
    </xf>
    <xf numFmtId="0" fontId="5" fillId="6" borderId="17" xfId="0" applyFont="1" applyFill="1" applyBorder="1"/>
    <xf numFmtId="1" fontId="7" fillId="3" borderId="5" xfId="0" applyNumberFormat="1" applyFont="1" applyFill="1" applyBorder="1" applyAlignment="1">
      <alignment horizontal="center" vertical="center"/>
    </xf>
    <xf numFmtId="164" fontId="5" fillId="3" borderId="5" xfId="0" applyNumberFormat="1" applyFont="1" applyFill="1" applyBorder="1" applyAlignment="1">
      <alignment horizontal="center" vertical="center"/>
    </xf>
    <xf numFmtId="0" fontId="40" fillId="0" borderId="0" xfId="0" applyFont="1" applyAlignment="1">
      <alignment horizontal="right" vertical="center"/>
    </xf>
    <xf numFmtId="14" fontId="37" fillId="9" borderId="53" xfId="0" quotePrefix="1" applyNumberFormat="1" applyFont="1" applyFill="1" applyBorder="1" applyAlignment="1">
      <alignment horizontal="center"/>
    </xf>
    <xf numFmtId="0" fontId="37" fillId="9" borderId="53" xfId="0" quotePrefix="1" applyFont="1" applyFill="1" applyBorder="1" applyAlignment="1">
      <alignment horizontal="center"/>
    </xf>
    <xf numFmtId="0" fontId="37" fillId="0" borderId="53" xfId="0" quotePrefix="1" applyFont="1" applyBorder="1" applyAlignment="1">
      <alignment horizontal="center"/>
    </xf>
    <xf numFmtId="164" fontId="37" fillId="9" borderId="53" xfId="0" quotePrefix="1" applyNumberFormat="1" applyFont="1" applyFill="1" applyBorder="1" applyAlignment="1">
      <alignment horizontal="center"/>
    </xf>
    <xf numFmtId="164" fontId="37" fillId="9" borderId="53" xfId="0" quotePrefix="1" applyNumberFormat="1" applyFont="1" applyFill="1" applyBorder="1" applyAlignment="1">
      <alignment horizontal="center" vertical="center"/>
    </xf>
    <xf numFmtId="164" fontId="37" fillId="3" borderId="53" xfId="0" quotePrefix="1" applyNumberFormat="1" applyFont="1" applyFill="1" applyBorder="1" applyAlignment="1">
      <alignment horizontal="center"/>
    </xf>
    <xf numFmtId="14" fontId="37" fillId="3" borderId="53" xfId="0" quotePrefix="1" applyNumberFormat="1" applyFont="1" applyFill="1" applyBorder="1" applyAlignment="1">
      <alignment horizontal="center"/>
    </xf>
    <xf numFmtId="165" fontId="37" fillId="9" borderId="53" xfId="0" quotePrefix="1" applyNumberFormat="1" applyFont="1" applyFill="1" applyBorder="1" applyAlignment="1">
      <alignment horizontal="center"/>
    </xf>
    <xf numFmtId="165" fontId="37" fillId="3" borderId="53" xfId="0" quotePrefix="1" applyNumberFormat="1" applyFont="1" applyFill="1" applyBorder="1" applyAlignment="1">
      <alignment horizontal="center" vertical="center"/>
    </xf>
    <xf numFmtId="0" fontId="43" fillId="8" borderId="1" xfId="0" applyFont="1" applyFill="1" applyBorder="1" applyAlignment="1">
      <alignment vertical="center" wrapText="1"/>
    </xf>
    <xf numFmtId="0" fontId="43" fillId="8" borderId="54" xfId="0" applyFont="1" applyFill="1" applyBorder="1" applyAlignment="1">
      <alignment vertical="center" wrapText="1"/>
    </xf>
    <xf numFmtId="0" fontId="43" fillId="8" borderId="1" xfId="0" applyFont="1" applyFill="1" applyBorder="1" applyAlignment="1">
      <alignment horizontal="center" vertical="center" wrapText="1"/>
    </xf>
    <xf numFmtId="0" fontId="43" fillId="8" borderId="54" xfId="0" applyFont="1" applyFill="1" applyBorder="1" applyAlignment="1">
      <alignment horizontal="center" vertical="center" wrapText="1"/>
    </xf>
    <xf numFmtId="14" fontId="43" fillId="8" borderId="1" xfId="0" applyNumberFormat="1" applyFont="1" applyFill="1" applyBorder="1" applyAlignment="1">
      <alignment horizontal="center" vertical="center" wrapText="1"/>
    </xf>
    <xf numFmtId="14" fontId="43" fillId="8" borderId="54" xfId="0" applyNumberFormat="1" applyFont="1" applyFill="1" applyBorder="1" applyAlignment="1">
      <alignment horizontal="center" vertical="center" wrapText="1"/>
    </xf>
    <xf numFmtId="0" fontId="43" fillId="0" borderId="1" xfId="0" applyFont="1" applyBorder="1" applyAlignment="1">
      <alignment vertical="center" wrapText="1"/>
    </xf>
    <xf numFmtId="0" fontId="43" fillId="0" borderId="1" xfId="0" applyFont="1" applyBorder="1" applyAlignment="1">
      <alignment horizontal="center" vertical="center" wrapText="1"/>
    </xf>
    <xf numFmtId="0" fontId="43" fillId="0" borderId="54" xfId="0" applyFont="1" applyBorder="1" applyAlignment="1">
      <alignment vertical="center" wrapText="1"/>
    </xf>
    <xf numFmtId="0" fontId="43" fillId="0" borderId="54" xfId="0" applyFont="1" applyBorder="1" applyAlignment="1">
      <alignment horizontal="center" vertical="center" wrapText="1"/>
    </xf>
    <xf numFmtId="14" fontId="43" fillId="0" borderId="54" xfId="0" applyNumberFormat="1" applyFont="1" applyBorder="1" applyAlignment="1">
      <alignment horizontal="center" vertical="center" wrapText="1"/>
    </xf>
    <xf numFmtId="0" fontId="44" fillId="0" borderId="7" xfId="0" applyFont="1" applyBorder="1" applyAlignment="1">
      <alignment horizontal="center" vertical="center"/>
    </xf>
    <xf numFmtId="0" fontId="44" fillId="0" borderId="9" xfId="0" applyFont="1" applyBorder="1" applyAlignment="1">
      <alignment horizontal="center" vertical="center"/>
    </xf>
    <xf numFmtId="0" fontId="45" fillId="0" borderId="53" xfId="0" applyFont="1" applyBorder="1" applyAlignment="1">
      <alignment horizontal="center" wrapText="1"/>
    </xf>
    <xf numFmtId="0" fontId="44" fillId="0" borderId="46" xfId="0" applyFont="1" applyBorder="1" applyAlignment="1">
      <alignment horizontal="center" vertical="center"/>
    </xf>
    <xf numFmtId="0" fontId="44" fillId="0" borderId="49" xfId="0" applyFont="1" applyBorder="1" applyAlignment="1">
      <alignment horizontal="center" vertical="center"/>
    </xf>
    <xf numFmtId="0" fontId="44" fillId="0" borderId="51" xfId="0" applyFont="1" applyBorder="1" applyAlignment="1">
      <alignment horizontal="center" vertical="center"/>
    </xf>
    <xf numFmtId="1" fontId="43" fillId="8" borderId="54" xfId="0" applyNumberFormat="1" applyFont="1" applyFill="1" applyBorder="1" applyAlignment="1">
      <alignment horizontal="center" vertical="center" wrapText="1"/>
    </xf>
    <xf numFmtId="0" fontId="46" fillId="0" borderId="22" xfId="0" applyFont="1" applyBorder="1" applyAlignment="1">
      <alignment horizontal="center"/>
    </xf>
    <xf numFmtId="0" fontId="52" fillId="0" borderId="22" xfId="0" applyFont="1" applyBorder="1" applyAlignment="1">
      <alignment horizontal="center"/>
    </xf>
    <xf numFmtId="0" fontId="12" fillId="0" borderId="0" xfId="0" applyFont="1" applyAlignment="1">
      <alignment horizontal="center" vertical="center"/>
    </xf>
    <xf numFmtId="4" fontId="17" fillId="0" borderId="2" xfId="0" applyNumberFormat="1" applyFont="1" applyBorder="1" applyAlignment="1">
      <alignment vertical="center" wrapText="1"/>
    </xf>
    <xf numFmtId="4" fontId="17" fillId="0" borderId="3" xfId="0" applyNumberFormat="1" applyFont="1" applyBorder="1" applyAlignment="1">
      <alignment vertical="center" wrapText="1"/>
    </xf>
    <xf numFmtId="4" fontId="17" fillId="0" borderId="4" xfId="0" applyNumberFormat="1" applyFont="1" applyBorder="1" applyAlignment="1">
      <alignment vertical="center" wrapText="1"/>
    </xf>
    <xf numFmtId="0" fontId="11" fillId="0" borderId="0" xfId="0" applyFont="1" applyAlignment="1">
      <alignment horizontal="center"/>
    </xf>
    <xf numFmtId="0" fontId="0" fillId="0" borderId="0" xfId="0"/>
    <xf numFmtId="0" fontId="13" fillId="0" borderId="0" xfId="0" applyFont="1" applyAlignment="1">
      <alignment horizontal="center"/>
    </xf>
    <xf numFmtId="0" fontId="14" fillId="0" borderId="0" xfId="0" applyFont="1"/>
    <xf numFmtId="0" fontId="12" fillId="0" borderId="0" xfId="0" applyFont="1" applyAlignment="1">
      <alignment horizontal="center"/>
    </xf>
    <xf numFmtId="0" fontId="15" fillId="0" borderId="0" xfId="0" applyFont="1" applyAlignment="1">
      <alignment horizontal="center" vertical="center"/>
    </xf>
    <xf numFmtId="0" fontId="49" fillId="11" borderId="6" xfId="0" applyFont="1" applyFill="1" applyBorder="1" applyAlignment="1">
      <alignment horizontal="center" vertical="center"/>
    </xf>
    <xf numFmtId="0" fontId="51" fillId="11" borderId="8" xfId="0" applyFont="1" applyFill="1" applyBorder="1"/>
    <xf numFmtId="0" fontId="46" fillId="0" borderId="22" xfId="0" applyFont="1" applyBorder="1" applyAlignment="1">
      <alignment horizontal="center" wrapText="1"/>
    </xf>
    <xf numFmtId="0" fontId="47" fillId="0" borderId="22" xfId="0" applyFont="1" applyBorder="1" applyAlignment="1">
      <alignment horizontal="center"/>
    </xf>
    <xf numFmtId="1" fontId="46" fillId="0" borderId="3" xfId="0" applyNumberFormat="1" applyFont="1" applyBorder="1" applyAlignment="1">
      <alignment horizontal="center"/>
    </xf>
    <xf numFmtId="1" fontId="47" fillId="0" borderId="3" xfId="0" applyNumberFormat="1" applyFont="1" applyBorder="1" applyAlignment="1">
      <alignment horizontal="center"/>
    </xf>
    <xf numFmtId="0" fontId="46" fillId="0" borderId="22" xfId="0" applyFont="1" applyBorder="1" applyAlignment="1">
      <alignment horizontal="center"/>
    </xf>
    <xf numFmtId="0" fontId="47" fillId="0" borderId="22" xfId="0" applyFont="1" applyBorder="1"/>
    <xf numFmtId="0" fontId="11" fillId="0" borderId="0" xfId="0" applyFont="1" applyAlignment="1">
      <alignment wrapText="1"/>
    </xf>
    <xf numFmtId="0" fontId="12" fillId="0" borderId="22" xfId="0" applyFont="1" applyBorder="1" applyAlignment="1">
      <alignment horizontal="center"/>
    </xf>
    <xf numFmtId="0" fontId="2" fillId="0" borderId="22" xfId="0" applyFont="1" applyBorder="1"/>
    <xf numFmtId="0" fontId="16" fillId="0" borderId="22" xfId="0" applyFont="1" applyBorder="1" applyAlignment="1">
      <alignment horizontal="center"/>
    </xf>
    <xf numFmtId="0" fontId="12" fillId="0" borderId="0" xfId="0" applyFont="1" applyAlignment="1">
      <alignment horizontal="right"/>
    </xf>
    <xf numFmtId="0" fontId="12" fillId="0" borderId="2" xfId="0" applyFont="1" applyBorder="1" applyAlignment="1">
      <alignment horizontal="center" vertical="center"/>
    </xf>
    <xf numFmtId="0" fontId="2" fillId="0" borderId="3" xfId="0" applyFont="1" applyBorder="1"/>
    <xf numFmtId="0" fontId="2" fillId="0" borderId="4" xfId="0" applyFont="1" applyBorder="1"/>
    <xf numFmtId="0" fontId="18" fillId="0" borderId="2" xfId="0" applyFont="1" applyBorder="1" applyAlignment="1">
      <alignment horizontal="left" vertical="center" wrapText="1"/>
    </xf>
    <xf numFmtId="4" fontId="20" fillId="0" borderId="2" xfId="0" applyNumberFormat="1" applyFont="1" applyBorder="1" applyAlignment="1">
      <alignment horizontal="left" vertical="center" wrapText="1"/>
    </xf>
    <xf numFmtId="0" fontId="2" fillId="0" borderId="3" xfId="0" applyFont="1" applyBorder="1" applyAlignment="1">
      <alignment horizontal="left"/>
    </xf>
    <xf numFmtId="0" fontId="2" fillId="0" borderId="4" xfId="0" applyFont="1" applyBorder="1" applyAlignment="1">
      <alignment horizontal="left"/>
    </xf>
    <xf numFmtId="4" fontId="20" fillId="0" borderId="2" xfId="0" applyNumberFormat="1" applyFont="1" applyBorder="1" applyAlignment="1">
      <alignment vertical="center" wrapText="1"/>
    </xf>
    <xf numFmtId="4" fontId="21" fillId="0" borderId="2" xfId="0" applyNumberFormat="1" applyFont="1" applyBorder="1" applyAlignment="1">
      <alignment horizontal="left" vertical="center" wrapText="1"/>
    </xf>
    <xf numFmtId="0" fontId="11" fillId="0" borderId="0" xfId="0" applyFont="1" applyAlignment="1">
      <alignment horizontal="center" vertical="top"/>
    </xf>
    <xf numFmtId="4" fontId="48" fillId="0" borderId="2" xfId="0" applyNumberFormat="1" applyFont="1" applyBorder="1" applyAlignment="1">
      <alignment horizontal="left" vertical="center" wrapText="1"/>
    </xf>
    <xf numFmtId="4" fontId="17" fillId="0" borderId="2" xfId="0" applyNumberFormat="1" applyFont="1" applyBorder="1" applyAlignment="1">
      <alignment horizontal="left" vertical="center" wrapText="1"/>
    </xf>
    <xf numFmtId="4" fontId="23" fillId="0" borderId="2" xfId="0" applyNumberFormat="1" applyFont="1" applyBorder="1" applyAlignment="1">
      <alignment horizontal="center" vertical="center" wrapText="1"/>
    </xf>
    <xf numFmtId="0" fontId="12" fillId="0" borderId="0" xfId="0" applyFont="1"/>
    <xf numFmtId="0" fontId="12" fillId="0" borderId="6" xfId="0" applyFont="1" applyBorder="1" applyAlignment="1">
      <alignment horizontal="center" vertical="center" wrapText="1"/>
    </xf>
    <xf numFmtId="0" fontId="2" fillId="0" borderId="8" xfId="0" applyFont="1" applyBorder="1"/>
    <xf numFmtId="0" fontId="12" fillId="0" borderId="6" xfId="0" applyFont="1" applyBorder="1" applyAlignment="1">
      <alignment horizontal="center" vertical="center"/>
    </xf>
    <xf numFmtId="0" fontId="13" fillId="0" borderId="35" xfId="0" applyFont="1" applyBorder="1" applyAlignment="1">
      <alignment horizontal="center" vertical="center"/>
    </xf>
    <xf numFmtId="0" fontId="13" fillId="0" borderId="38" xfId="0" applyFont="1" applyBorder="1" applyAlignment="1">
      <alignment horizontal="center" vertical="center"/>
    </xf>
    <xf numFmtId="0" fontId="13" fillId="0" borderId="40" xfId="0" applyFont="1" applyBorder="1" applyAlignment="1">
      <alignment horizontal="center" vertical="center"/>
    </xf>
    <xf numFmtId="0" fontId="12" fillId="0" borderId="35" xfId="0" applyFont="1" applyBorder="1" applyAlignment="1">
      <alignment horizontal="center" vertical="center"/>
    </xf>
    <xf numFmtId="0" fontId="12" fillId="0" borderId="38" xfId="0" applyFont="1" applyBorder="1" applyAlignment="1">
      <alignment horizontal="center" vertical="center"/>
    </xf>
    <xf numFmtId="0" fontId="12" fillId="0" borderId="40" xfId="0" applyFont="1" applyBorder="1" applyAlignment="1">
      <alignment horizontal="center" vertical="center"/>
    </xf>
    <xf numFmtId="0" fontId="50" fillId="11" borderId="6" xfId="0" applyFont="1" applyFill="1" applyBorder="1" applyAlignment="1">
      <alignment horizontal="center" vertical="center"/>
    </xf>
    <xf numFmtId="0" fontId="16" fillId="0" borderId="0" xfId="0" applyFont="1" applyAlignment="1">
      <alignment horizontal="center"/>
    </xf>
    <xf numFmtId="0" fontId="2" fillId="0" borderId="36" xfId="0" applyFont="1" applyBorder="1"/>
    <xf numFmtId="0" fontId="2" fillId="0" borderId="37" xfId="0" applyFont="1" applyBorder="1"/>
    <xf numFmtId="0" fontId="2" fillId="0" borderId="40" xfId="0" applyFont="1" applyBorder="1"/>
    <xf numFmtId="0" fontId="2" fillId="0" borderId="41" xfId="0" applyFont="1" applyBorder="1"/>
    <xf numFmtId="0" fontId="13" fillId="0" borderId="36" xfId="0" applyFont="1" applyBorder="1" applyAlignment="1">
      <alignment horizontal="center" vertical="center"/>
    </xf>
    <xf numFmtId="0" fontId="13" fillId="0" borderId="37" xfId="0" applyFont="1" applyBorder="1" applyAlignment="1">
      <alignment horizontal="center" vertical="center"/>
    </xf>
    <xf numFmtId="0" fontId="13" fillId="0" borderId="0" xfId="0" applyFont="1" applyAlignment="1">
      <alignment horizontal="center" vertical="center"/>
    </xf>
    <xf numFmtId="0" fontId="13" fillId="0" borderId="39" xfId="0" applyFont="1" applyBorder="1" applyAlignment="1">
      <alignment horizontal="center" vertical="center"/>
    </xf>
    <xf numFmtId="0" fontId="13" fillId="0" borderId="22" xfId="0" applyFont="1" applyBorder="1" applyAlignment="1">
      <alignment horizontal="center" vertical="center"/>
    </xf>
    <xf numFmtId="0" fontId="13" fillId="0" borderId="41" xfId="0"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12" fillId="0" borderId="39" xfId="0" applyFont="1" applyBorder="1" applyAlignment="1">
      <alignment horizontal="center" vertical="center"/>
    </xf>
    <xf numFmtId="0" fontId="12" fillId="0" borderId="22" xfId="0" applyFont="1" applyBorder="1" applyAlignment="1">
      <alignment horizontal="center" vertical="center"/>
    </xf>
    <xf numFmtId="0" fontId="12" fillId="0" borderId="41" xfId="0" applyFont="1" applyBorder="1" applyAlignment="1">
      <alignment horizontal="center" vertical="center"/>
    </xf>
    <xf numFmtId="0" fontId="35" fillId="3" borderId="2" xfId="0" applyFont="1" applyFill="1" applyBorder="1" applyAlignment="1">
      <alignment vertical="center"/>
    </xf>
    <xf numFmtId="0" fontId="32" fillId="3" borderId="3" xfId="0" applyFont="1" applyFill="1" applyBorder="1" applyAlignment="1">
      <alignment vertical="center"/>
    </xf>
    <xf numFmtId="0" fontId="7" fillId="3" borderId="3" xfId="0" applyFont="1" applyFill="1" applyBorder="1" applyAlignment="1">
      <alignment vertical="center"/>
    </xf>
    <xf numFmtId="0" fontId="33" fillId="7" borderId="0" xfId="0" applyFont="1" applyFill="1" applyAlignment="1">
      <alignment horizontal="center" vertical="center"/>
    </xf>
    <xf numFmtId="0" fontId="2" fillId="0" borderId="0" xfId="0" applyFont="1"/>
    <xf numFmtId="0" fontId="34" fillId="2" borderId="33" xfId="0" applyFont="1" applyFill="1" applyBorder="1" applyAlignment="1">
      <alignment horizontal="center" vertical="center"/>
    </xf>
    <xf numFmtId="0" fontId="2" fillId="0" borderId="34" xfId="0" applyFont="1" applyBorder="1"/>
    <xf numFmtId="0" fontId="2" fillId="0" borderId="43" xfId="0" applyFont="1" applyBorder="1"/>
    <xf numFmtId="0" fontId="2" fillId="0" borderId="14" xfId="0" applyFont="1" applyBorder="1"/>
    <xf numFmtId="0" fontId="2" fillId="0" borderId="15" xfId="0" applyFont="1" applyBorder="1"/>
    <xf numFmtId="0" fontId="9" fillId="10" borderId="33" xfId="0" applyFont="1" applyFill="1" applyBorder="1" applyAlignment="1">
      <alignment horizontal="center" vertical="center"/>
    </xf>
    <xf numFmtId="0" fontId="2" fillId="0" borderId="19" xfId="0" applyFont="1" applyBorder="1"/>
    <xf numFmtId="0" fontId="2" fillId="0" borderId="17" xfId="0" applyFont="1" applyBorder="1"/>
    <xf numFmtId="0" fontId="2" fillId="0" borderId="20" xfId="0" applyFont="1" applyBorder="1"/>
    <xf numFmtId="0" fontId="7" fillId="3" borderId="36" xfId="0" applyFont="1" applyFill="1" applyBorder="1" applyAlignment="1">
      <alignment vertical="center" wrapText="1"/>
    </xf>
    <xf numFmtId="0" fontId="39" fillId="6" borderId="0" xfId="0" applyFont="1" applyFill="1" applyAlignment="1">
      <alignment horizontal="left" wrapText="1"/>
    </xf>
    <xf numFmtId="0" fontId="35" fillId="3" borderId="35" xfId="0" applyFont="1" applyFill="1" applyBorder="1" applyAlignment="1">
      <alignment vertical="center"/>
    </xf>
    <xf numFmtId="0" fontId="35" fillId="3" borderId="36" xfId="0" applyFont="1" applyFill="1" applyBorder="1" applyAlignment="1">
      <alignment horizontal="center" vertical="center"/>
    </xf>
    <xf numFmtId="0" fontId="7" fillId="3" borderId="3" xfId="0" applyFont="1" applyFill="1" applyBorder="1" applyAlignment="1">
      <alignment horizontal="left" vertical="center"/>
    </xf>
    <xf numFmtId="0" fontId="7" fillId="0" borderId="11" xfId="0" applyFont="1" applyBorder="1" applyAlignment="1">
      <alignment horizontal="center" vertical="center"/>
    </xf>
    <xf numFmtId="0" fontId="2" fillId="0" borderId="13" xfId="0" applyFont="1" applyBorder="1"/>
    <xf numFmtId="0" fontId="2" fillId="0" borderId="12" xfId="0" applyFont="1" applyBorder="1"/>
    <xf numFmtId="0" fontId="7" fillId="0" borderId="11" xfId="0" applyFont="1" applyBorder="1" applyAlignment="1">
      <alignment horizontal="center"/>
    </xf>
    <xf numFmtId="0" fontId="9" fillId="0" borderId="0" xfId="0" applyFont="1" applyAlignment="1">
      <alignment horizontal="right" vertical="center" wrapText="1"/>
    </xf>
    <xf numFmtId="0" fontId="5" fillId="2" borderId="11" xfId="0" applyFont="1" applyFill="1" applyBorder="1" applyAlignment="1">
      <alignment horizontal="center" vertical="center"/>
    </xf>
    <xf numFmtId="0" fontId="7" fillId="0" borderId="19" xfId="0" applyFont="1" applyBorder="1" applyAlignment="1">
      <alignment horizontal="center" vertical="center"/>
    </xf>
    <xf numFmtId="0" fontId="4" fillId="0" borderId="11" xfId="0" applyFont="1" applyBorder="1" applyAlignment="1">
      <alignment horizontal="center"/>
    </xf>
    <xf numFmtId="0" fontId="1" fillId="0" borderId="11" xfId="0" applyFont="1" applyBorder="1" applyAlignment="1">
      <alignment horizontal="center"/>
    </xf>
    <xf numFmtId="0" fontId="7" fillId="0" borderId="14" xfId="0" applyFont="1" applyBorder="1" applyAlignment="1">
      <alignment horizontal="center" vertical="center"/>
    </xf>
    <xf numFmtId="0" fontId="8" fillId="0" borderId="33" xfId="0" applyFont="1" applyBorder="1" applyAlignment="1">
      <alignment horizontal="center" vertical="center"/>
    </xf>
    <xf numFmtId="0" fontId="7" fillId="0" borderId="33" xfId="0" applyFont="1" applyBorder="1" applyAlignment="1">
      <alignment horizontal="center" vertical="center"/>
    </xf>
    <xf numFmtId="0" fontId="6" fillId="0" borderId="11" xfId="0" applyFont="1" applyBorder="1" applyAlignment="1">
      <alignment horizontal="center" vertical="center"/>
    </xf>
    <xf numFmtId="0" fontId="29" fillId="0" borderId="11" xfId="0" applyFont="1" applyBorder="1" applyAlignment="1">
      <alignment horizontal="center" vertical="center" wrapText="1"/>
    </xf>
    <xf numFmtId="0" fontId="9" fillId="4" borderId="11" xfId="0" applyFont="1" applyFill="1" applyBorder="1" applyAlignment="1">
      <alignment horizontal="left" vertical="center"/>
    </xf>
    <xf numFmtId="0" fontId="7" fillId="6" borderId="22" xfId="0" applyFont="1" applyFill="1" applyBorder="1" applyAlignment="1">
      <alignment horizontal="left" vertical="center"/>
    </xf>
    <xf numFmtId="0" fontId="2" fillId="0" borderId="23" xfId="0" applyFont="1" applyBorder="1"/>
    <xf numFmtId="1" fontId="7" fillId="6" borderId="22" xfId="0" applyNumberFormat="1" applyFont="1" applyFill="1" applyBorder="1" applyAlignment="1">
      <alignment horizontal="center" vertical="center"/>
    </xf>
    <xf numFmtId="0" fontId="6" fillId="0" borderId="43" xfId="0" applyFont="1" applyBorder="1" applyAlignment="1">
      <alignment horizontal="center" vertical="center"/>
    </xf>
    <xf numFmtId="0" fontId="6" fillId="0" borderId="42" xfId="0" applyFont="1" applyBorder="1" applyAlignment="1">
      <alignment horizontal="center" vertical="center"/>
    </xf>
    <xf numFmtId="0" fontId="2" fillId="0" borderId="18" xfId="0" applyFont="1" applyBorder="1"/>
    <xf numFmtId="0" fontId="2" fillId="0" borderId="16" xfId="0" applyFont="1" applyBorder="1"/>
    <xf numFmtId="0" fontId="30" fillId="0" borderId="42" xfId="0" applyFont="1" applyBorder="1" applyAlignment="1">
      <alignment horizontal="center" vertical="center" wrapText="1"/>
    </xf>
    <xf numFmtId="0" fontId="30" fillId="0" borderId="42" xfId="0" applyFont="1" applyBorder="1" applyAlignment="1">
      <alignment horizontal="center" vertical="center"/>
    </xf>
    <xf numFmtId="0" fontId="27" fillId="0" borderId="14" xfId="0" applyFont="1" applyBorder="1" applyAlignment="1">
      <alignment horizontal="center" vertical="center"/>
    </xf>
    <xf numFmtId="0" fontId="7" fillId="6" borderId="30" xfId="0" applyFont="1" applyFill="1" applyBorder="1" applyAlignment="1">
      <alignment horizontal="left" vertical="center"/>
    </xf>
    <xf numFmtId="0" fontId="2" fillId="0" borderId="31" xfId="0" applyFont="1" applyBorder="1"/>
    <xf numFmtId="0" fontId="2" fillId="0" borderId="32" xfId="0" applyFont="1" applyBorder="1"/>
    <xf numFmtId="1" fontId="7" fillId="6" borderId="31" xfId="0" applyNumberFormat="1" applyFont="1" applyFill="1" applyBorder="1" applyAlignment="1">
      <alignment horizontal="center" vertical="center"/>
    </xf>
    <xf numFmtId="0" fontId="7" fillId="6" borderId="44" xfId="0" applyFont="1" applyFill="1" applyBorder="1" applyAlignment="1">
      <alignment horizontal="left" vertical="center"/>
    </xf>
    <xf numFmtId="0" fontId="2" fillId="0" borderId="50" xfId="0" applyFont="1" applyBorder="1"/>
    <xf numFmtId="0" fontId="2" fillId="0" borderId="45" xfId="0" applyFont="1" applyBorder="1"/>
    <xf numFmtId="0" fontId="7" fillId="6" borderId="2" xfId="0" applyFont="1" applyFill="1" applyBorder="1" applyAlignment="1">
      <alignment horizontal="left" vertical="center"/>
    </xf>
    <xf numFmtId="0" fontId="2" fillId="0" borderId="47" xfId="0" applyFont="1" applyBorder="1"/>
    <xf numFmtId="1" fontId="7" fillId="6" borderId="46" xfId="0" applyNumberFormat="1" applyFont="1" applyFill="1" applyBorder="1" applyAlignment="1">
      <alignment horizontal="center" vertical="center"/>
    </xf>
    <xf numFmtId="1" fontId="7" fillId="6" borderId="47" xfId="0" applyNumberFormat="1" applyFont="1" applyFill="1" applyBorder="1" applyAlignment="1">
      <alignment horizontal="center" vertical="center"/>
    </xf>
    <xf numFmtId="0" fontId="26" fillId="0" borderId="0" xfId="0" applyFont="1" applyAlignment="1">
      <alignment horizontal="center" vertical="center"/>
    </xf>
    <xf numFmtId="1" fontId="7" fillId="6" borderId="52" xfId="0" applyNumberFormat="1" applyFont="1" applyFill="1" applyBorder="1" applyAlignment="1">
      <alignment horizontal="center" vertical="center"/>
    </xf>
    <xf numFmtId="0" fontId="28" fillId="0" borderId="33" xfId="0" applyFont="1" applyBorder="1" applyAlignment="1">
      <alignment horizontal="center" vertical="center"/>
    </xf>
    <xf numFmtId="0" fontId="6" fillId="0" borderId="33" xfId="0" applyFont="1" applyBorder="1" applyAlignment="1">
      <alignment horizontal="center" vertical="center"/>
    </xf>
  </cellXfs>
  <cellStyles count="1">
    <cellStyle name="Normal" xfId="0" builtinId="0"/>
  </cellStyles>
  <dxfs count="2">
    <dxf>
      <font>
        <b/>
        <i val="0"/>
        <color auto="1"/>
      </font>
      <fill>
        <patternFill patternType="solid">
          <bgColor theme="5" tint="0.79995117038483843"/>
        </patternFill>
      </fill>
    </dxf>
    <dxf>
      <font>
        <b/>
        <i val="0"/>
        <color auto="1"/>
      </font>
      <fill>
        <patternFill patternType="solid">
          <bgColor theme="5" tint="0.799951170384838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23825" y="66675"/>
          <a:ext cx="2200275" cy="1114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85725" y="0"/>
          <a:ext cx="981075" cy="981075"/>
        </a:xfrm>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5373350" y="57150"/>
          <a:ext cx="1714500" cy="8763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15</xdr:col>
      <xdr:colOff>857250</xdr:colOff>
      <xdr:row>1</xdr:row>
      <xdr:rowOff>19050</xdr:rowOff>
    </xdr:from>
    <xdr:ext cx="1381125" cy="70485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12795250" y="219075"/>
          <a:ext cx="1381125" cy="704850"/>
        </a:xfrm>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320675" y="123825"/>
          <a:ext cx="885825" cy="88582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274320</xdr:colOff>
      <xdr:row>3</xdr:row>
      <xdr:rowOff>30480</xdr:rowOff>
    </xdr:from>
    <xdr:ext cx="1097280" cy="1062990"/>
    <xdr:pic>
      <xdr:nvPicPr>
        <xdr:cNvPr id="2" name="image2.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547370" y="627380"/>
          <a:ext cx="1097280" cy="1062990"/>
        </a:xfrm>
        <a:prstGeom prst="rect">
          <a:avLst/>
        </a:prstGeom>
        <a:noFill/>
      </xdr:spPr>
    </xdr:pic>
    <xdr:clientData fLocksWithSheet="0"/>
  </xdr:oneCellAnchor>
  <xdr:twoCellAnchor editAs="oneCell">
    <xdr:from>
      <xdr:col>9</xdr:col>
      <xdr:colOff>350521</xdr:colOff>
      <xdr:row>3</xdr:row>
      <xdr:rowOff>60961</xdr:rowOff>
    </xdr:from>
    <xdr:to>
      <xdr:col>10</xdr:col>
      <xdr:colOff>716595</xdr:colOff>
      <xdr:row>8</xdr:row>
      <xdr:rowOff>76201</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5748020" y="657860"/>
          <a:ext cx="1064260" cy="101536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workbookViewId="0"/>
  </sheetViews>
  <sheetFormatPr defaultColWidth="12.6640625" defaultRowHeight="15" customHeight="1"/>
  <cols>
    <col min="1" max="6" width="12.6640625" customWidth="1"/>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0"/>
  <sheetViews>
    <sheetView showGridLines="0" topLeftCell="L1" workbookViewId="0">
      <pane ySplit="5" topLeftCell="A30" activePane="bottomLeft" state="frozen"/>
      <selection pane="bottomLeft" activeCell="R36" sqref="R36"/>
    </sheetView>
  </sheetViews>
  <sheetFormatPr defaultColWidth="12.6640625" defaultRowHeight="15" customHeight="1"/>
  <cols>
    <col min="1" max="2" width="3.88671875" customWidth="1"/>
    <col min="3" max="3" width="11.33203125" customWidth="1"/>
    <col min="4" max="4" width="11" customWidth="1"/>
    <col min="5" max="5" width="3.88671875" customWidth="1"/>
    <col min="6" max="6" width="12.664062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5.75" customHeight="1">
      <c r="A1" s="214" t="s">
        <v>0</v>
      </c>
      <c r="B1" s="215"/>
      <c r="C1" s="215"/>
      <c r="D1" s="215"/>
      <c r="E1" s="215"/>
      <c r="F1" s="215"/>
      <c r="G1" s="215"/>
      <c r="H1" s="215"/>
      <c r="I1" s="215"/>
      <c r="J1" s="215"/>
      <c r="K1" s="215"/>
      <c r="L1" s="215"/>
      <c r="M1" s="215"/>
      <c r="N1" s="215"/>
      <c r="O1" s="215"/>
      <c r="P1" s="215"/>
      <c r="Q1" s="215"/>
      <c r="R1" s="215"/>
      <c r="S1" s="215"/>
      <c r="T1" s="215"/>
      <c r="U1" s="215"/>
      <c r="V1" s="39"/>
      <c r="W1" s="39"/>
      <c r="X1" s="39"/>
      <c r="Y1" s="39"/>
      <c r="Z1" s="39"/>
      <c r="AA1" s="39"/>
      <c r="AB1" s="39"/>
      <c r="AC1" s="39"/>
      <c r="AD1" s="39"/>
    </row>
    <row r="2" spans="1:30" ht="15.75" customHeight="1">
      <c r="A2" s="215"/>
      <c r="B2" s="153"/>
      <c r="C2" s="153"/>
      <c r="D2" s="153"/>
      <c r="E2" s="153"/>
      <c r="F2" s="153"/>
      <c r="G2" s="153"/>
      <c r="H2" s="153"/>
      <c r="I2" s="153"/>
      <c r="J2" s="153"/>
      <c r="K2" s="153"/>
      <c r="L2" s="153"/>
      <c r="M2" s="153"/>
      <c r="N2" s="153"/>
      <c r="O2" s="153"/>
      <c r="P2" s="153"/>
      <c r="Q2" s="153"/>
      <c r="R2" s="153"/>
      <c r="S2" s="153"/>
      <c r="T2" s="153"/>
      <c r="U2" s="215"/>
      <c r="V2" s="39"/>
      <c r="W2" s="39"/>
      <c r="X2" s="39"/>
      <c r="Y2" s="39"/>
      <c r="Z2" s="39"/>
      <c r="AA2" s="39"/>
      <c r="AB2" s="39"/>
      <c r="AC2" s="39"/>
      <c r="AD2" s="39"/>
    </row>
    <row r="3" spans="1:30" ht="15.75" customHeight="1">
      <c r="A3" s="215"/>
      <c r="B3" s="153"/>
      <c r="C3" s="153"/>
      <c r="D3" s="153"/>
      <c r="E3" s="153"/>
      <c r="F3" s="153"/>
      <c r="G3" s="153"/>
      <c r="H3" s="153"/>
      <c r="I3" s="153"/>
      <c r="J3" s="153"/>
      <c r="K3" s="153"/>
      <c r="L3" s="153"/>
      <c r="M3" s="153"/>
      <c r="N3" s="153"/>
      <c r="O3" s="153"/>
      <c r="P3" s="153"/>
      <c r="Q3" s="153"/>
      <c r="R3" s="153"/>
      <c r="S3" s="153"/>
      <c r="T3" s="153"/>
      <c r="U3" s="215"/>
      <c r="V3" s="39"/>
      <c r="W3" s="39"/>
      <c r="X3" s="39"/>
      <c r="Y3" s="39"/>
      <c r="Z3" s="39"/>
      <c r="AA3" s="39"/>
      <c r="AB3" s="39"/>
      <c r="AC3" s="39"/>
      <c r="AD3" s="39"/>
    </row>
    <row r="4" spans="1:30" ht="15.75" customHeight="1">
      <c r="A4" s="215"/>
      <c r="B4" s="153"/>
      <c r="C4" s="153"/>
      <c r="D4" s="153"/>
      <c r="E4" s="153"/>
      <c r="F4" s="153"/>
      <c r="G4" s="153"/>
      <c r="H4" s="153"/>
      <c r="I4" s="153"/>
      <c r="J4" s="153"/>
      <c r="K4" s="153"/>
      <c r="L4" s="153"/>
      <c r="M4" s="153"/>
      <c r="N4" s="153"/>
      <c r="O4" s="153"/>
      <c r="P4" s="153"/>
      <c r="Q4" s="153"/>
      <c r="R4" s="153"/>
      <c r="S4" s="153"/>
      <c r="T4" s="153"/>
      <c r="U4" s="215"/>
      <c r="V4" s="39"/>
      <c r="W4" s="39"/>
      <c r="X4" s="39"/>
      <c r="Y4" s="39"/>
      <c r="Z4" s="39"/>
      <c r="AA4" s="39"/>
      <c r="AB4" s="39"/>
      <c r="AC4" s="39"/>
      <c r="AD4" s="39"/>
    </row>
    <row r="5" spans="1:30" ht="15.75" customHeight="1">
      <c r="A5" s="215"/>
      <c r="B5" s="215"/>
      <c r="C5" s="215"/>
      <c r="D5" s="215"/>
      <c r="E5" s="215"/>
      <c r="F5" s="215"/>
      <c r="G5" s="215"/>
      <c r="H5" s="215"/>
      <c r="I5" s="215"/>
      <c r="J5" s="215"/>
      <c r="K5" s="215"/>
      <c r="L5" s="215"/>
      <c r="M5" s="215"/>
      <c r="N5" s="215"/>
      <c r="O5" s="215"/>
      <c r="P5" s="215"/>
      <c r="Q5" s="215"/>
      <c r="R5" s="215"/>
      <c r="S5" s="215"/>
      <c r="T5" s="215"/>
      <c r="U5" s="215"/>
      <c r="V5" s="39"/>
      <c r="W5" s="39"/>
      <c r="X5" s="39"/>
      <c r="Y5" s="39"/>
      <c r="Z5" s="39"/>
      <c r="AA5" s="39"/>
      <c r="AB5" s="39"/>
      <c r="AC5" s="39"/>
      <c r="AD5" s="39"/>
    </row>
    <row r="6" spans="1:30" ht="15.75" customHeight="1">
      <c r="A6" s="39"/>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row>
    <row r="7" spans="1:30" ht="15.75" customHeight="1">
      <c r="A7" s="39"/>
      <c r="B7" s="216" t="s">
        <v>1</v>
      </c>
      <c r="C7" s="217"/>
      <c r="D7" s="217"/>
      <c r="E7" s="217"/>
      <c r="F7" s="217"/>
      <c r="G7" s="217"/>
      <c r="H7" s="218"/>
      <c r="I7" s="39"/>
      <c r="J7" s="216" t="s">
        <v>2</v>
      </c>
      <c r="K7" s="217"/>
      <c r="L7" s="217"/>
      <c r="M7" s="217"/>
      <c r="N7" s="217"/>
      <c r="O7" s="217"/>
      <c r="P7" s="217"/>
      <c r="Q7" s="217"/>
      <c r="R7" s="217"/>
      <c r="S7" s="217"/>
      <c r="T7" s="218"/>
      <c r="U7" s="39"/>
      <c r="V7" s="39"/>
      <c r="W7" s="39"/>
      <c r="X7" s="39"/>
      <c r="Y7" s="39"/>
      <c r="Z7" s="39"/>
      <c r="AA7" s="39"/>
      <c r="AB7" s="39"/>
      <c r="AC7" s="39"/>
      <c r="AD7" s="39"/>
    </row>
    <row r="8" spans="1:30" ht="15.75" customHeight="1">
      <c r="A8" s="39"/>
      <c r="B8" s="219"/>
      <c r="C8" s="215"/>
      <c r="D8" s="215"/>
      <c r="E8" s="215"/>
      <c r="F8" s="215"/>
      <c r="G8" s="215"/>
      <c r="H8" s="220"/>
      <c r="I8" s="39"/>
      <c r="J8" s="219"/>
      <c r="K8" s="215"/>
      <c r="L8" s="215"/>
      <c r="M8" s="215"/>
      <c r="N8" s="215"/>
      <c r="O8" s="215"/>
      <c r="P8" s="215"/>
      <c r="Q8" s="215"/>
      <c r="R8" s="215"/>
      <c r="S8" s="215"/>
      <c r="T8" s="220"/>
      <c r="U8" s="39"/>
      <c r="V8" s="39"/>
      <c r="W8" s="39"/>
      <c r="X8" s="39"/>
      <c r="Y8" s="39"/>
      <c r="Z8" s="39"/>
      <c r="AA8" s="39"/>
      <c r="AB8" s="39"/>
      <c r="AC8" s="39"/>
      <c r="AD8" s="39"/>
    </row>
    <row r="9" spans="1:30" ht="15.75" customHeight="1">
      <c r="A9" s="39"/>
      <c r="B9" s="81"/>
      <c r="C9" s="82"/>
      <c r="D9" s="82"/>
      <c r="E9" s="82"/>
      <c r="F9" s="82"/>
      <c r="G9" s="82"/>
      <c r="H9" s="83"/>
      <c r="I9" s="39"/>
      <c r="J9" s="81"/>
      <c r="K9" s="82"/>
      <c r="L9" s="82"/>
      <c r="M9" s="82"/>
      <c r="N9" s="82"/>
      <c r="O9" s="82"/>
      <c r="P9" s="82"/>
      <c r="Q9" s="82"/>
      <c r="R9" s="82"/>
      <c r="S9" s="82"/>
      <c r="T9" s="83"/>
      <c r="U9" s="39"/>
      <c r="V9" s="39"/>
      <c r="W9" s="39"/>
      <c r="X9" s="39"/>
      <c r="Y9" s="39"/>
      <c r="Z9" s="39"/>
      <c r="AA9" s="39"/>
      <c r="AB9" s="39"/>
      <c r="AC9" s="39"/>
      <c r="AD9" s="39"/>
    </row>
    <row r="10" spans="1:30" ht="15.75" customHeight="1" thickBot="1">
      <c r="A10" s="39"/>
      <c r="B10" s="81"/>
      <c r="C10" s="211" t="s">
        <v>3</v>
      </c>
      <c r="D10" s="172"/>
      <c r="E10" s="84" t="s">
        <v>4</v>
      </c>
      <c r="F10" s="213" t="s">
        <v>5</v>
      </c>
      <c r="G10" s="173"/>
      <c r="H10" s="83"/>
      <c r="I10" s="39"/>
      <c r="J10" s="81"/>
      <c r="K10" s="86" t="s">
        <v>6</v>
      </c>
      <c r="L10" s="87"/>
      <c r="M10" s="88" t="s">
        <v>7</v>
      </c>
      <c r="N10" s="88" t="s">
        <v>8</v>
      </c>
      <c r="O10" s="82"/>
      <c r="P10" s="86" t="s">
        <v>9</v>
      </c>
      <c r="Q10" s="89"/>
      <c r="R10" s="88" t="s">
        <v>7</v>
      </c>
      <c r="S10" s="88" t="s">
        <v>8</v>
      </c>
      <c r="T10" s="83"/>
      <c r="U10" s="39"/>
      <c r="V10" s="39"/>
      <c r="W10" s="39"/>
      <c r="X10" s="39"/>
      <c r="Y10" s="39"/>
      <c r="Z10" s="39"/>
      <c r="AA10" s="39"/>
      <c r="AB10" s="39"/>
      <c r="AC10" s="39"/>
      <c r="AD10" s="39"/>
    </row>
    <row r="11" spans="1:30" ht="15.75" customHeight="1" thickBot="1">
      <c r="A11" s="39"/>
      <c r="B11" s="81"/>
      <c r="C11" s="211" t="s">
        <v>10</v>
      </c>
      <c r="D11" s="172"/>
      <c r="E11" s="84" t="s">
        <v>4</v>
      </c>
      <c r="F11" s="85" t="s">
        <v>11</v>
      </c>
      <c r="G11" s="90"/>
      <c r="H11" s="83"/>
      <c r="I11" s="39"/>
      <c r="J11" s="81"/>
      <c r="K11" s="91">
        <v>1</v>
      </c>
      <c r="L11" s="128" t="s">
        <v>179</v>
      </c>
      <c r="M11" s="130">
        <v>107743150040</v>
      </c>
      <c r="N11" s="132">
        <v>40159</v>
      </c>
      <c r="O11" s="82"/>
      <c r="P11" s="91">
        <v>1</v>
      </c>
      <c r="Q11" s="134" t="s">
        <v>200</v>
      </c>
      <c r="R11" s="135">
        <v>107743150029</v>
      </c>
      <c r="S11" s="135" t="s">
        <v>201</v>
      </c>
      <c r="T11" s="83"/>
      <c r="U11" s="39"/>
      <c r="V11" s="39"/>
      <c r="W11" s="39"/>
      <c r="X11" s="39"/>
      <c r="Y11" s="39"/>
      <c r="Z11" s="39"/>
      <c r="AA11" s="39"/>
      <c r="AB11" s="39"/>
      <c r="AC11" s="39"/>
      <c r="AD11" s="39"/>
    </row>
    <row r="12" spans="1:30" ht="15.75" customHeight="1" thickBot="1">
      <c r="A12" s="39"/>
      <c r="B12" s="81"/>
      <c r="C12" s="211" t="s">
        <v>12</v>
      </c>
      <c r="D12" s="172"/>
      <c r="E12" s="84" t="s">
        <v>4</v>
      </c>
      <c r="F12" s="85" t="s">
        <v>13</v>
      </c>
      <c r="G12" s="90"/>
      <c r="H12" s="83"/>
      <c r="I12" s="39"/>
      <c r="J12" s="81"/>
      <c r="K12" s="91">
        <v>2</v>
      </c>
      <c r="L12" s="129" t="s">
        <v>180</v>
      </c>
      <c r="M12" s="131">
        <v>107741150061</v>
      </c>
      <c r="N12" s="131" t="s">
        <v>193</v>
      </c>
      <c r="O12" s="82"/>
      <c r="P12" s="91">
        <v>2</v>
      </c>
      <c r="Q12" s="129" t="s">
        <v>202</v>
      </c>
      <c r="R12" s="131">
        <v>107743150121</v>
      </c>
      <c r="S12" s="131" t="s">
        <v>203</v>
      </c>
      <c r="T12" s="83"/>
      <c r="U12" s="39"/>
      <c r="V12" s="39"/>
      <c r="W12" s="39"/>
      <c r="X12" s="39"/>
      <c r="Y12" s="39"/>
      <c r="Z12" s="39"/>
      <c r="AA12" s="39"/>
      <c r="AB12" s="39"/>
      <c r="AC12" s="39"/>
      <c r="AD12" s="39"/>
    </row>
    <row r="13" spans="1:30" ht="15.75" customHeight="1" thickBot="1">
      <c r="A13" s="39"/>
      <c r="B13" s="81"/>
      <c r="C13" s="211" t="s">
        <v>14</v>
      </c>
      <c r="D13" s="172"/>
      <c r="E13" s="84" t="s">
        <v>4</v>
      </c>
      <c r="F13" s="85"/>
      <c r="G13" s="90"/>
      <c r="H13" s="83"/>
      <c r="I13" s="39"/>
      <c r="J13" s="81"/>
      <c r="K13" s="91">
        <v>3</v>
      </c>
      <c r="L13" s="129" t="s">
        <v>181</v>
      </c>
      <c r="M13" s="131">
        <v>107736150048</v>
      </c>
      <c r="N13" s="131" t="s">
        <v>194</v>
      </c>
      <c r="O13" s="82"/>
      <c r="P13" s="91">
        <v>3</v>
      </c>
      <c r="Q13" s="129" t="s">
        <v>204</v>
      </c>
      <c r="R13" s="131">
        <v>107738150047</v>
      </c>
      <c r="S13" s="131" t="s">
        <v>205</v>
      </c>
      <c r="T13" s="83"/>
      <c r="U13" s="39"/>
      <c r="V13" s="39"/>
      <c r="W13" s="39"/>
      <c r="X13" s="39"/>
      <c r="Y13" s="39"/>
      <c r="Z13" s="39"/>
      <c r="AA13" s="39"/>
      <c r="AB13" s="39"/>
      <c r="AC13" s="39"/>
      <c r="AD13" s="39"/>
    </row>
    <row r="14" spans="1:30" ht="15.75" customHeight="1" thickBot="1">
      <c r="A14" s="39"/>
      <c r="B14" s="81"/>
      <c r="C14" s="82"/>
      <c r="D14" s="82"/>
      <c r="E14" s="82"/>
      <c r="F14" s="82"/>
      <c r="G14" s="82"/>
      <c r="H14" s="83"/>
      <c r="I14" s="39"/>
      <c r="J14" s="81"/>
      <c r="K14" s="91">
        <v>4</v>
      </c>
      <c r="L14" s="129" t="s">
        <v>182</v>
      </c>
      <c r="M14" s="131">
        <v>107739150008</v>
      </c>
      <c r="N14" s="131" t="s">
        <v>195</v>
      </c>
      <c r="O14" s="82"/>
      <c r="P14" s="91">
        <v>4</v>
      </c>
      <c r="Q14" s="129" t="s">
        <v>206</v>
      </c>
      <c r="R14" s="131">
        <v>109667150251</v>
      </c>
      <c r="S14" s="133">
        <v>40186</v>
      </c>
      <c r="T14" s="83"/>
      <c r="U14" s="39"/>
      <c r="V14" s="39"/>
      <c r="W14" s="39"/>
      <c r="X14" s="39"/>
      <c r="Y14" s="39"/>
      <c r="Z14" s="39"/>
      <c r="AA14" s="39"/>
      <c r="AB14" s="39"/>
      <c r="AC14" s="39"/>
      <c r="AD14" s="39"/>
    </row>
    <row r="15" spans="1:30" ht="15.75" customHeight="1" thickBot="1">
      <c r="A15" s="39"/>
      <c r="B15" s="81"/>
      <c r="C15" s="211" t="s">
        <v>15</v>
      </c>
      <c r="D15" s="172"/>
      <c r="E15" s="84" t="s">
        <v>4</v>
      </c>
      <c r="F15" s="96">
        <v>342218</v>
      </c>
      <c r="G15" s="97"/>
      <c r="H15" s="83"/>
      <c r="I15" s="39"/>
      <c r="J15" s="81"/>
      <c r="K15" s="91">
        <v>5</v>
      </c>
      <c r="L15" s="129" t="s">
        <v>183</v>
      </c>
      <c r="M15" s="131">
        <v>402271150022</v>
      </c>
      <c r="N15" s="131" t="s">
        <v>196</v>
      </c>
      <c r="O15" s="82"/>
      <c r="P15" s="91">
        <v>5</v>
      </c>
      <c r="Q15" s="129" t="s">
        <v>207</v>
      </c>
      <c r="R15" s="131">
        <v>107741150021</v>
      </c>
      <c r="S15" s="133">
        <v>40427</v>
      </c>
      <c r="T15" s="83"/>
      <c r="U15" s="39"/>
      <c r="V15" s="39"/>
      <c r="W15" s="39"/>
      <c r="X15" s="39"/>
      <c r="Y15" s="39"/>
      <c r="Z15" s="39"/>
      <c r="AA15" s="39"/>
      <c r="AB15" s="39"/>
      <c r="AC15" s="39"/>
      <c r="AD15" s="39"/>
    </row>
    <row r="16" spans="1:30" ht="15.75" customHeight="1" thickBot="1">
      <c r="A16" s="39"/>
      <c r="B16" s="81"/>
      <c r="C16" s="227" t="s">
        <v>16</v>
      </c>
      <c r="D16" s="196"/>
      <c r="E16" s="228" t="s">
        <v>4</v>
      </c>
      <c r="F16" s="225" t="s">
        <v>17</v>
      </c>
      <c r="G16" s="197"/>
      <c r="H16" s="83"/>
      <c r="I16" s="39"/>
      <c r="J16" s="81"/>
      <c r="K16" s="91">
        <v>6</v>
      </c>
      <c r="L16" s="129" t="s">
        <v>184</v>
      </c>
      <c r="M16" s="131">
        <v>107740150010</v>
      </c>
      <c r="N16" s="131" t="s">
        <v>197</v>
      </c>
      <c r="O16" s="82"/>
      <c r="P16" s="91">
        <v>6</v>
      </c>
      <c r="Q16" s="129" t="s">
        <v>208</v>
      </c>
      <c r="R16" s="131">
        <v>107736140052</v>
      </c>
      <c r="S16" s="131" t="s">
        <v>18</v>
      </c>
      <c r="T16" s="83"/>
      <c r="U16" s="39"/>
      <c r="V16" s="39"/>
      <c r="W16" s="39"/>
      <c r="X16" s="39"/>
      <c r="Y16" s="39"/>
      <c r="Z16" s="39"/>
      <c r="AA16" s="39"/>
      <c r="AB16" s="39"/>
      <c r="AC16" s="39"/>
      <c r="AD16" s="39"/>
    </row>
    <row r="17" spans="1:30" ht="15.75" customHeight="1" thickBot="1">
      <c r="A17" s="39"/>
      <c r="B17" s="81"/>
      <c r="C17" s="198"/>
      <c r="D17" s="168"/>
      <c r="E17" s="168"/>
      <c r="F17" s="168"/>
      <c r="G17" s="199"/>
      <c r="H17" s="83"/>
      <c r="I17" s="39"/>
      <c r="J17" s="81"/>
      <c r="K17" s="91">
        <v>7</v>
      </c>
      <c r="L17" s="129" t="s">
        <v>185</v>
      </c>
      <c r="M17" s="131">
        <v>107743150044</v>
      </c>
      <c r="N17" s="133">
        <v>40244</v>
      </c>
      <c r="O17" s="82"/>
      <c r="P17" s="91">
        <v>7</v>
      </c>
      <c r="Q17" s="129" t="s">
        <v>209</v>
      </c>
      <c r="R17" s="131">
        <v>107746150066</v>
      </c>
      <c r="S17" s="131" t="s">
        <v>210</v>
      </c>
      <c r="T17" s="83"/>
      <c r="U17" s="39"/>
      <c r="V17" s="39"/>
      <c r="W17" s="39"/>
      <c r="X17" s="39"/>
      <c r="Y17" s="39"/>
      <c r="Z17" s="39"/>
      <c r="AA17" s="39"/>
      <c r="AB17" s="39"/>
      <c r="AC17" s="39"/>
      <c r="AD17" s="39"/>
    </row>
    <row r="18" spans="1:30" ht="15.75" customHeight="1" thickBot="1">
      <c r="A18" s="39"/>
      <c r="B18" s="81"/>
      <c r="C18" s="211" t="s">
        <v>19</v>
      </c>
      <c r="D18" s="172"/>
      <c r="E18" s="84" t="s">
        <v>4</v>
      </c>
      <c r="F18" s="229" t="s">
        <v>20</v>
      </c>
      <c r="G18" s="173"/>
      <c r="H18" s="83"/>
      <c r="I18" s="39"/>
      <c r="J18" s="81"/>
      <c r="K18" s="91">
        <v>8</v>
      </c>
      <c r="L18" s="129" t="s">
        <v>186</v>
      </c>
      <c r="M18" s="131">
        <v>107736150060</v>
      </c>
      <c r="N18" s="133">
        <v>40299</v>
      </c>
      <c r="O18" s="82"/>
      <c r="P18" s="91">
        <v>8</v>
      </c>
      <c r="Q18" s="129" t="s">
        <v>211</v>
      </c>
      <c r="R18" s="131">
        <v>107738150034</v>
      </c>
      <c r="S18" s="133">
        <v>40269</v>
      </c>
      <c r="T18" s="83"/>
      <c r="U18" s="39"/>
      <c r="V18" s="39"/>
      <c r="W18" s="39"/>
      <c r="X18" s="39"/>
      <c r="Y18" s="39"/>
      <c r="Z18" s="39"/>
      <c r="AA18" s="39"/>
      <c r="AB18" s="39"/>
      <c r="AC18" s="39"/>
      <c r="AD18" s="39"/>
    </row>
    <row r="19" spans="1:30" ht="15.75" customHeight="1" thickBot="1">
      <c r="A19" s="39"/>
      <c r="B19" s="81"/>
      <c r="C19" s="211" t="s">
        <v>21</v>
      </c>
      <c r="D19" s="172"/>
      <c r="E19" s="84" t="s">
        <v>4</v>
      </c>
      <c r="F19" s="212" t="s">
        <v>22</v>
      </c>
      <c r="G19" s="173"/>
      <c r="H19" s="83"/>
      <c r="I19" s="39"/>
      <c r="J19" s="81"/>
      <c r="K19" s="91">
        <v>9</v>
      </c>
      <c r="L19" s="129" t="s">
        <v>187</v>
      </c>
      <c r="M19" s="131">
        <v>107737150036</v>
      </c>
      <c r="N19" s="131" t="s">
        <v>198</v>
      </c>
      <c r="O19" s="82"/>
      <c r="P19" s="91">
        <v>9</v>
      </c>
      <c r="Q19" s="129" t="s">
        <v>212</v>
      </c>
      <c r="R19" s="131">
        <v>433010150061</v>
      </c>
      <c r="S19" s="131" t="s">
        <v>213</v>
      </c>
      <c r="T19" s="83"/>
      <c r="U19" s="39"/>
      <c r="V19" s="39"/>
      <c r="W19" s="39"/>
      <c r="X19" s="39"/>
      <c r="Y19" s="39"/>
      <c r="Z19" s="39"/>
      <c r="AA19" s="39"/>
      <c r="AB19" s="39"/>
      <c r="AC19" s="39"/>
      <c r="AD19" s="39"/>
    </row>
    <row r="20" spans="1:30" ht="15.75" customHeight="1" thickBot="1">
      <c r="A20" s="39"/>
      <c r="B20" s="104"/>
      <c r="C20" s="105"/>
      <c r="D20" s="105"/>
      <c r="E20" s="105"/>
      <c r="F20" s="105"/>
      <c r="G20" s="105"/>
      <c r="H20" s="106"/>
      <c r="I20" s="39"/>
      <c r="J20" s="81"/>
      <c r="K20" s="91">
        <v>10</v>
      </c>
      <c r="L20" s="129" t="s">
        <v>188</v>
      </c>
      <c r="M20" s="131">
        <v>107742150006</v>
      </c>
      <c r="N20" s="131" t="s">
        <v>199</v>
      </c>
      <c r="O20" s="82"/>
      <c r="P20" s="91">
        <v>10</v>
      </c>
      <c r="Q20" s="129" t="s">
        <v>214</v>
      </c>
      <c r="R20" s="131">
        <v>107737150049</v>
      </c>
      <c r="S20" s="133">
        <v>40491</v>
      </c>
      <c r="T20" s="83"/>
      <c r="U20" s="39"/>
      <c r="V20" s="39"/>
      <c r="W20" s="39"/>
      <c r="X20" s="39"/>
      <c r="Y20" s="39"/>
      <c r="Z20" s="39"/>
      <c r="AA20" s="39"/>
      <c r="AB20" s="39"/>
      <c r="AC20" s="39"/>
      <c r="AD20" s="39"/>
    </row>
    <row r="21" spans="1:30" ht="15.75" customHeight="1" thickBot="1">
      <c r="A21" s="6"/>
      <c r="B21" s="6"/>
      <c r="C21" s="6"/>
      <c r="D21" s="6"/>
      <c r="E21" s="6"/>
      <c r="F21" s="6"/>
      <c r="G21" s="6"/>
      <c r="H21" s="6"/>
      <c r="I21" s="39"/>
      <c r="J21" s="81"/>
      <c r="K21" s="91">
        <v>11</v>
      </c>
      <c r="L21" s="129" t="s">
        <v>189</v>
      </c>
      <c r="M21" s="131">
        <v>107740150027</v>
      </c>
      <c r="N21" s="133">
        <v>40334</v>
      </c>
      <c r="O21" s="82"/>
      <c r="P21" s="91">
        <v>11</v>
      </c>
      <c r="Q21" s="129" t="s">
        <v>215</v>
      </c>
      <c r="R21" s="131">
        <v>163506140021</v>
      </c>
      <c r="S21" s="133">
        <v>39974</v>
      </c>
      <c r="T21" s="83"/>
      <c r="U21" s="39"/>
      <c r="V21" s="39"/>
      <c r="W21" s="39"/>
      <c r="X21" s="39"/>
      <c r="Y21" s="39"/>
      <c r="Z21" s="39"/>
      <c r="AA21" s="39"/>
      <c r="AB21" s="39"/>
      <c r="AC21" s="39"/>
      <c r="AD21" s="39"/>
    </row>
    <row r="22" spans="1:30" ht="15.75" customHeight="1" thickBot="1">
      <c r="A22" s="6"/>
      <c r="B22" s="6"/>
      <c r="C22" s="6"/>
      <c r="D22" s="6"/>
      <c r="E22" s="6"/>
      <c r="F22" s="6"/>
      <c r="G22" s="6"/>
      <c r="H22" s="6"/>
      <c r="I22" s="39"/>
      <c r="J22" s="81"/>
      <c r="K22" s="91">
        <v>12</v>
      </c>
      <c r="L22" s="129" t="s">
        <v>190</v>
      </c>
      <c r="M22" s="131">
        <v>163506150011</v>
      </c>
      <c r="N22" s="133">
        <v>40238</v>
      </c>
      <c r="O22" s="82"/>
      <c r="P22" s="91">
        <v>12</v>
      </c>
      <c r="Q22" s="129" t="s">
        <v>216</v>
      </c>
      <c r="R22" s="131">
        <v>107743150033</v>
      </c>
      <c r="S22" s="131" t="s">
        <v>217</v>
      </c>
      <c r="T22" s="83"/>
      <c r="U22" s="39"/>
      <c r="V22" s="39"/>
      <c r="W22" s="39"/>
      <c r="X22" s="39"/>
      <c r="Y22" s="39"/>
      <c r="Z22" s="39"/>
      <c r="AA22" s="39"/>
      <c r="AB22" s="39"/>
      <c r="AC22" s="39"/>
      <c r="AD22" s="39"/>
    </row>
    <row r="23" spans="1:30" ht="15.75" customHeight="1" thickBot="1">
      <c r="A23" s="39"/>
      <c r="B23" s="216" t="s">
        <v>23</v>
      </c>
      <c r="C23" s="217"/>
      <c r="D23" s="217"/>
      <c r="E23" s="217"/>
      <c r="F23" s="217"/>
      <c r="G23" s="217"/>
      <c r="H23" s="218"/>
      <c r="I23" s="39"/>
      <c r="J23" s="81"/>
      <c r="K23" s="91">
        <v>13</v>
      </c>
      <c r="L23" s="129" t="s">
        <v>191</v>
      </c>
      <c r="M23" s="131">
        <v>136605150121</v>
      </c>
      <c r="N23" s="133">
        <v>40519</v>
      </c>
      <c r="O23" s="82"/>
      <c r="P23" s="91">
        <v>13</v>
      </c>
      <c r="Q23" s="129" t="s">
        <v>218</v>
      </c>
      <c r="R23" s="131">
        <v>107739150022</v>
      </c>
      <c r="S23" s="131" t="s">
        <v>219</v>
      </c>
      <c r="T23" s="83"/>
      <c r="U23" s="39"/>
      <c r="V23" s="39"/>
      <c r="W23" s="39"/>
      <c r="X23" s="39"/>
      <c r="Y23" s="39"/>
      <c r="Z23" s="39"/>
      <c r="AA23" s="39"/>
      <c r="AB23" s="39"/>
      <c r="AC23" s="39"/>
      <c r="AD23" s="39"/>
    </row>
    <row r="24" spans="1:30" ht="15.75" customHeight="1" thickBot="1">
      <c r="A24" s="39"/>
      <c r="B24" s="219"/>
      <c r="C24" s="215"/>
      <c r="D24" s="215"/>
      <c r="E24" s="215"/>
      <c r="F24" s="215"/>
      <c r="G24" s="215"/>
      <c r="H24" s="220"/>
      <c r="I24" s="39"/>
      <c r="J24" s="81"/>
      <c r="K24" s="91">
        <v>14</v>
      </c>
      <c r="L24" s="129" t="s">
        <v>192</v>
      </c>
      <c r="M24" s="131">
        <v>100380150020</v>
      </c>
      <c r="N24" s="133">
        <v>40303</v>
      </c>
      <c r="O24" s="82"/>
      <c r="P24" s="91">
        <v>14</v>
      </c>
      <c r="Q24" s="129" t="s">
        <v>220</v>
      </c>
      <c r="R24" s="131">
        <v>107743150034</v>
      </c>
      <c r="S24" s="133">
        <v>40428</v>
      </c>
      <c r="T24" s="83"/>
      <c r="U24" s="39"/>
      <c r="V24" s="39"/>
      <c r="W24" s="39"/>
      <c r="X24" s="39"/>
      <c r="Y24" s="39"/>
      <c r="Z24" s="39"/>
      <c r="AA24" s="39"/>
      <c r="AB24" s="39"/>
      <c r="AC24" s="39"/>
      <c r="AD24" s="39"/>
    </row>
    <row r="25" spans="1:30" ht="15.75" customHeight="1" thickBot="1">
      <c r="A25" s="39"/>
      <c r="B25" s="81"/>
      <c r="C25" s="82"/>
      <c r="D25" s="82"/>
      <c r="E25" s="82"/>
      <c r="F25" s="82"/>
      <c r="G25" s="82"/>
      <c r="H25" s="83"/>
      <c r="I25" s="39"/>
      <c r="J25" s="81"/>
      <c r="K25" s="91">
        <v>15</v>
      </c>
      <c r="L25" s="92"/>
      <c r="M25" s="93"/>
      <c r="N25" s="120"/>
      <c r="O25" s="82"/>
      <c r="P25" s="91">
        <v>15</v>
      </c>
      <c r="Q25" s="136" t="s">
        <v>221</v>
      </c>
      <c r="R25" s="137">
        <v>107739150054</v>
      </c>
      <c r="S25" s="137" t="s">
        <v>222</v>
      </c>
      <c r="T25" s="83"/>
      <c r="U25" s="39"/>
      <c r="V25" s="39"/>
      <c r="W25" s="39"/>
      <c r="X25" s="39"/>
      <c r="Y25" s="39"/>
      <c r="Z25" s="39"/>
      <c r="AA25" s="39"/>
      <c r="AB25" s="39"/>
      <c r="AC25" s="39"/>
      <c r="AD25" s="39"/>
    </row>
    <row r="26" spans="1:30" ht="15.75" customHeight="1" thickBot="1">
      <c r="A26" s="39"/>
      <c r="B26" s="81"/>
      <c r="C26" s="98" t="s">
        <v>24</v>
      </c>
      <c r="D26" s="107"/>
      <c r="E26" s="99" t="s">
        <v>4</v>
      </c>
      <c r="F26" s="213" t="s">
        <v>177</v>
      </c>
      <c r="G26" s="173"/>
      <c r="H26" s="83"/>
      <c r="I26" s="39"/>
      <c r="J26" s="81"/>
      <c r="K26" s="91">
        <v>16</v>
      </c>
      <c r="L26" s="92"/>
      <c r="M26" s="93"/>
      <c r="N26" s="119"/>
      <c r="O26" s="82"/>
      <c r="P26" s="91">
        <v>16</v>
      </c>
      <c r="Q26" s="129" t="s">
        <v>223</v>
      </c>
      <c r="R26" s="131">
        <v>426030150021</v>
      </c>
      <c r="S26" s="131" t="s">
        <v>224</v>
      </c>
      <c r="T26" s="83"/>
      <c r="U26" s="39"/>
      <c r="V26" s="39"/>
      <c r="W26" s="39"/>
      <c r="X26" s="39"/>
      <c r="Y26" s="39"/>
      <c r="Z26" s="39"/>
      <c r="AA26" s="39"/>
      <c r="AB26" s="39"/>
      <c r="AC26" s="39"/>
      <c r="AD26" s="39"/>
    </row>
    <row r="27" spans="1:30" ht="15.75" customHeight="1" thickBot="1">
      <c r="A27" s="39"/>
      <c r="B27" s="81"/>
      <c r="C27" s="211" t="s">
        <v>25</v>
      </c>
      <c r="D27" s="172"/>
      <c r="E27" s="84" t="s">
        <v>4</v>
      </c>
      <c r="F27" s="100">
        <v>11</v>
      </c>
      <c r="G27" s="108" t="s">
        <v>26</v>
      </c>
      <c r="H27" s="83"/>
      <c r="I27" s="39"/>
      <c r="J27" s="81"/>
      <c r="K27" s="91">
        <v>17</v>
      </c>
      <c r="L27" s="95"/>
      <c r="M27" s="93"/>
      <c r="N27" s="123"/>
      <c r="O27" s="82"/>
      <c r="P27" s="91">
        <v>17</v>
      </c>
      <c r="Q27" s="129" t="s">
        <v>225</v>
      </c>
      <c r="R27" s="131">
        <v>107741150034</v>
      </c>
      <c r="S27" s="133">
        <v>40424</v>
      </c>
      <c r="T27" s="83"/>
      <c r="U27" s="39"/>
      <c r="V27" s="39"/>
      <c r="W27" s="39"/>
      <c r="X27" s="39"/>
      <c r="Y27" s="39"/>
      <c r="Z27" s="39"/>
      <c r="AA27" s="39"/>
      <c r="AB27" s="39"/>
      <c r="AC27" s="39"/>
      <c r="AD27" s="39"/>
    </row>
    <row r="28" spans="1:30" ht="15.75" customHeight="1" thickBot="1">
      <c r="A28" s="39"/>
      <c r="B28" s="81"/>
      <c r="C28" s="109" t="s">
        <v>27</v>
      </c>
      <c r="D28" s="110"/>
      <c r="E28" s="111" t="s">
        <v>4</v>
      </c>
      <c r="F28" s="213" t="s">
        <v>28</v>
      </c>
      <c r="G28" s="173"/>
      <c r="H28" s="83"/>
      <c r="I28" s="39"/>
      <c r="J28" s="81"/>
      <c r="K28" s="91">
        <v>18</v>
      </c>
      <c r="L28" s="92"/>
      <c r="M28" s="93"/>
      <c r="N28" s="124"/>
      <c r="O28" s="82"/>
      <c r="P28" s="91">
        <v>18</v>
      </c>
      <c r="Q28" s="129" t="s">
        <v>226</v>
      </c>
      <c r="R28" s="131">
        <v>107741140042</v>
      </c>
      <c r="S28" s="131" t="s">
        <v>227</v>
      </c>
      <c r="T28" s="83"/>
      <c r="U28" s="39"/>
      <c r="V28" s="39"/>
      <c r="W28" s="39"/>
      <c r="X28" s="39"/>
      <c r="Y28" s="39"/>
      <c r="Z28" s="39"/>
      <c r="AA28" s="39"/>
      <c r="AB28" s="39"/>
      <c r="AC28" s="39"/>
      <c r="AD28" s="39"/>
    </row>
    <row r="29" spans="1:30" ht="15.75" customHeight="1" thickBot="1">
      <c r="A29" s="39"/>
      <c r="B29" s="81"/>
      <c r="C29" s="109" t="s">
        <v>29</v>
      </c>
      <c r="D29" s="110"/>
      <c r="E29" s="111" t="s">
        <v>4</v>
      </c>
      <c r="F29" s="213" t="s">
        <v>178</v>
      </c>
      <c r="G29" s="173"/>
      <c r="H29" s="83"/>
      <c r="I29" s="39"/>
      <c r="J29" s="81"/>
      <c r="K29" s="91">
        <v>19</v>
      </c>
      <c r="L29" s="92"/>
      <c r="M29" s="93"/>
      <c r="N29" s="125"/>
      <c r="O29" s="82"/>
      <c r="P29" s="91">
        <v>19</v>
      </c>
      <c r="Q29" s="136" t="s">
        <v>228</v>
      </c>
      <c r="R29" s="137">
        <v>112123150031</v>
      </c>
      <c r="S29" s="137" t="s">
        <v>229</v>
      </c>
      <c r="T29" s="83"/>
      <c r="U29" s="39"/>
      <c r="V29" s="39"/>
      <c r="W29" s="39"/>
      <c r="X29" s="39"/>
      <c r="Y29" s="39"/>
      <c r="Z29" s="39"/>
      <c r="AA29" s="39"/>
      <c r="AB29" s="39"/>
      <c r="AC29" s="39"/>
      <c r="AD29" s="39"/>
    </row>
    <row r="30" spans="1:30" ht="15.75" customHeight="1" thickBot="1">
      <c r="A30" s="39"/>
      <c r="B30" s="81"/>
      <c r="C30" s="112"/>
      <c r="D30" s="113"/>
      <c r="E30" s="113"/>
      <c r="F30" s="113"/>
      <c r="G30" s="113"/>
      <c r="H30" s="83"/>
      <c r="I30" s="39"/>
      <c r="J30" s="81"/>
      <c r="K30" s="91">
        <v>20</v>
      </c>
      <c r="L30" s="92"/>
      <c r="M30" s="93"/>
      <c r="N30" s="125"/>
      <c r="O30" s="82"/>
      <c r="P30" s="91">
        <v>20</v>
      </c>
      <c r="Q30" s="129" t="s">
        <v>230</v>
      </c>
      <c r="R30" s="131">
        <v>107740150034</v>
      </c>
      <c r="S30" s="133">
        <v>40097</v>
      </c>
      <c r="T30" s="83"/>
      <c r="U30" s="39"/>
      <c r="V30" s="39"/>
      <c r="W30" s="39"/>
      <c r="X30" s="39"/>
      <c r="Y30" s="39"/>
      <c r="Z30" s="39"/>
      <c r="AA30" s="39"/>
      <c r="AB30" s="39"/>
      <c r="AC30" s="39"/>
      <c r="AD30" s="39"/>
    </row>
    <row r="31" spans="1:30" ht="15.75" customHeight="1" thickBot="1">
      <c r="A31" s="39"/>
      <c r="B31" s="81"/>
      <c r="C31" s="226" t="s">
        <v>30</v>
      </c>
      <c r="D31" s="215"/>
      <c r="E31" s="215"/>
      <c r="F31" s="215"/>
      <c r="G31" s="215"/>
      <c r="H31" s="83"/>
      <c r="I31" s="39"/>
      <c r="J31" s="81"/>
      <c r="K31" s="91">
        <v>21</v>
      </c>
      <c r="L31" s="92"/>
      <c r="M31" s="93"/>
      <c r="N31" s="126"/>
      <c r="O31" s="82"/>
      <c r="P31" s="91">
        <v>21</v>
      </c>
      <c r="Q31" s="129" t="s">
        <v>231</v>
      </c>
      <c r="R31" s="131">
        <v>107739150029</v>
      </c>
      <c r="S31" s="133">
        <v>40457</v>
      </c>
      <c r="T31" s="83"/>
      <c r="U31" s="39"/>
      <c r="V31" s="39"/>
      <c r="W31" s="39"/>
      <c r="X31" s="39"/>
      <c r="Y31" s="39"/>
      <c r="Z31" s="39"/>
      <c r="AA31" s="39"/>
      <c r="AB31" s="39"/>
      <c r="AC31" s="39"/>
      <c r="AD31" s="39"/>
    </row>
    <row r="32" spans="1:30" ht="15.75" customHeight="1" thickBot="1">
      <c r="A32" s="39"/>
      <c r="B32" s="81"/>
      <c r="C32" s="215"/>
      <c r="D32" s="153"/>
      <c r="E32" s="153"/>
      <c r="F32" s="153"/>
      <c r="G32" s="215"/>
      <c r="H32" s="83"/>
      <c r="I32" s="39"/>
      <c r="J32" s="81"/>
      <c r="K32" s="91">
        <v>22</v>
      </c>
      <c r="L32" s="95"/>
      <c r="M32" s="93"/>
      <c r="N32" s="127"/>
      <c r="O32" s="82"/>
      <c r="P32" s="91">
        <v>22</v>
      </c>
      <c r="Q32" s="129" t="s">
        <v>232</v>
      </c>
      <c r="R32" s="131">
        <v>107736150116</v>
      </c>
      <c r="S32" s="133">
        <v>39976</v>
      </c>
      <c r="T32" s="83"/>
      <c r="U32" s="39"/>
      <c r="V32" s="39"/>
      <c r="W32" s="39"/>
      <c r="X32" s="39"/>
      <c r="Y32" s="39"/>
      <c r="Z32" s="39"/>
      <c r="AA32" s="39"/>
      <c r="AB32" s="39"/>
      <c r="AC32" s="39"/>
      <c r="AD32" s="39"/>
    </row>
    <row r="33" spans="1:30" ht="13.5" customHeight="1" thickBot="1">
      <c r="A33" s="39"/>
      <c r="B33" s="81"/>
      <c r="C33" s="215"/>
      <c r="D33" s="153"/>
      <c r="E33" s="153"/>
      <c r="F33" s="153"/>
      <c r="G33" s="215"/>
      <c r="H33" s="83"/>
      <c r="I33" s="39"/>
      <c r="J33" s="81"/>
      <c r="K33" s="91">
        <v>23</v>
      </c>
      <c r="L33" s="92"/>
      <c r="M33" s="93"/>
      <c r="N33" s="122"/>
      <c r="O33" s="82"/>
      <c r="P33" s="91">
        <v>23</v>
      </c>
      <c r="Q33" s="136" t="s">
        <v>233</v>
      </c>
      <c r="R33" s="137">
        <v>107741150109</v>
      </c>
      <c r="S33" s="137" t="s">
        <v>234</v>
      </c>
      <c r="T33" s="83"/>
      <c r="U33" s="39"/>
      <c r="V33" s="39"/>
      <c r="W33" s="39"/>
      <c r="X33" s="39"/>
      <c r="Y33" s="39"/>
      <c r="Z33" s="39"/>
      <c r="AA33" s="39"/>
      <c r="AB33" s="39"/>
      <c r="AC33" s="39"/>
      <c r="AD33" s="39"/>
    </row>
    <row r="34" spans="1:30" ht="15.75" customHeight="1" thickBot="1">
      <c r="A34" s="39"/>
      <c r="B34" s="81"/>
      <c r="C34" s="215"/>
      <c r="D34" s="215"/>
      <c r="E34" s="215"/>
      <c r="F34" s="215"/>
      <c r="G34" s="215"/>
      <c r="H34" s="83"/>
      <c r="I34" s="39"/>
      <c r="J34" s="81"/>
      <c r="K34" s="91">
        <v>24</v>
      </c>
      <c r="L34" s="94"/>
      <c r="M34" s="114"/>
      <c r="N34" s="121"/>
      <c r="O34" s="82"/>
      <c r="P34" s="91">
        <v>24</v>
      </c>
      <c r="Q34" s="129" t="s">
        <v>235</v>
      </c>
      <c r="R34" s="131">
        <v>107741150019</v>
      </c>
      <c r="S34" s="131" t="s">
        <v>236</v>
      </c>
      <c r="T34" s="83"/>
      <c r="U34" s="39"/>
      <c r="V34" s="39"/>
      <c r="W34" s="39"/>
      <c r="X34" s="39"/>
      <c r="Y34" s="39"/>
      <c r="Z34" s="39"/>
      <c r="AA34" s="39"/>
      <c r="AB34" s="39"/>
      <c r="AC34" s="39"/>
      <c r="AD34" s="39"/>
    </row>
    <row r="35" spans="1:30" ht="15.75" customHeight="1" thickBot="1">
      <c r="A35" s="39"/>
      <c r="B35" s="104"/>
      <c r="C35" s="115"/>
      <c r="D35" s="115"/>
      <c r="E35" s="115"/>
      <c r="F35" s="115"/>
      <c r="G35" s="115"/>
      <c r="H35" s="106"/>
      <c r="I35" s="39"/>
      <c r="J35" s="81"/>
      <c r="K35" s="91">
        <v>25</v>
      </c>
      <c r="L35" s="101"/>
      <c r="M35" s="116"/>
      <c r="N35" s="117"/>
      <c r="O35" s="82"/>
      <c r="P35" s="91">
        <v>25</v>
      </c>
      <c r="Q35" s="129" t="s">
        <v>237</v>
      </c>
      <c r="R35" s="131">
        <v>107736150055</v>
      </c>
      <c r="S35" s="133">
        <v>39884</v>
      </c>
      <c r="T35" s="83"/>
      <c r="U35" s="39"/>
      <c r="V35" s="39"/>
      <c r="W35" s="39"/>
      <c r="X35" s="39"/>
      <c r="Y35" s="39"/>
      <c r="Z35" s="39"/>
      <c r="AA35" s="39"/>
      <c r="AB35" s="39"/>
      <c r="AC35" s="39"/>
      <c r="AD35" s="39"/>
    </row>
    <row r="36" spans="1:30" ht="15.75" customHeight="1" thickBot="1">
      <c r="A36" s="39"/>
      <c r="B36" s="39"/>
      <c r="C36" s="39"/>
      <c r="D36" s="39"/>
      <c r="E36" s="39"/>
      <c r="F36" s="39"/>
      <c r="G36" s="39"/>
      <c r="H36" s="39"/>
      <c r="I36" s="39"/>
      <c r="J36" s="81"/>
      <c r="K36" s="91">
        <v>26</v>
      </c>
      <c r="L36" s="101"/>
      <c r="M36" s="116"/>
      <c r="N36" s="117"/>
      <c r="O36" s="82"/>
      <c r="P36" s="91">
        <v>26</v>
      </c>
      <c r="Q36" s="129" t="s">
        <v>238</v>
      </c>
      <c r="R36" s="145">
        <v>107744160041</v>
      </c>
      <c r="S36" s="131" t="s">
        <v>239</v>
      </c>
      <c r="T36" s="83"/>
      <c r="U36" s="39"/>
      <c r="V36" s="39"/>
      <c r="W36" s="39"/>
      <c r="X36" s="39"/>
      <c r="Y36" s="39"/>
      <c r="Z36" s="39"/>
      <c r="AA36" s="39"/>
      <c r="AB36" s="39"/>
      <c r="AC36" s="39"/>
      <c r="AD36" s="39"/>
    </row>
    <row r="37" spans="1:30" ht="15.75" customHeight="1" thickBot="1">
      <c r="A37" s="39"/>
      <c r="B37" s="39"/>
      <c r="C37" s="39"/>
      <c r="D37" s="39"/>
      <c r="E37" s="39"/>
      <c r="F37" s="39"/>
      <c r="G37" s="39"/>
      <c r="H37" s="39"/>
      <c r="I37" s="39"/>
      <c r="J37" s="81"/>
      <c r="K37" s="91">
        <v>27</v>
      </c>
      <c r="L37" s="101"/>
      <c r="M37" s="116"/>
      <c r="N37" s="117"/>
      <c r="O37" s="82"/>
      <c r="P37" s="91">
        <v>27</v>
      </c>
      <c r="Q37" s="136" t="s">
        <v>240</v>
      </c>
      <c r="R37" s="137">
        <v>107739150046</v>
      </c>
      <c r="S37" s="138">
        <v>40339</v>
      </c>
      <c r="T37" s="83"/>
      <c r="U37" s="39"/>
      <c r="V37" s="39"/>
      <c r="W37" s="39"/>
      <c r="X37" s="39"/>
      <c r="Y37" s="39"/>
      <c r="Z37" s="39"/>
      <c r="AA37" s="39"/>
      <c r="AB37" s="39"/>
      <c r="AC37" s="39"/>
      <c r="AD37" s="39"/>
    </row>
    <row r="38" spans="1:30" ht="15.75" customHeight="1" thickBot="1">
      <c r="A38" s="39"/>
      <c r="B38" s="221" t="s">
        <v>31</v>
      </c>
      <c r="C38" s="217"/>
      <c r="D38" s="217"/>
      <c r="E38" s="217"/>
      <c r="F38" s="217"/>
      <c r="G38" s="217"/>
      <c r="H38" s="218"/>
      <c r="I38" s="39"/>
      <c r="J38" s="81"/>
      <c r="K38" s="91">
        <v>28</v>
      </c>
      <c r="L38" s="101"/>
      <c r="M38" s="116"/>
      <c r="N38" s="117"/>
      <c r="O38" s="82"/>
      <c r="P38" s="91">
        <v>28</v>
      </c>
      <c r="Q38" s="129" t="s">
        <v>241</v>
      </c>
      <c r="R38" s="131">
        <v>107737150030</v>
      </c>
      <c r="S38" s="133">
        <v>40430</v>
      </c>
      <c r="T38" s="83"/>
      <c r="U38" s="39"/>
      <c r="V38" s="39"/>
      <c r="W38" s="39"/>
      <c r="X38" s="39"/>
      <c r="Y38" s="39"/>
      <c r="Z38" s="39"/>
      <c r="AA38" s="39"/>
      <c r="AB38" s="39"/>
      <c r="AC38" s="39"/>
      <c r="AD38" s="39"/>
    </row>
    <row r="39" spans="1:30" ht="15.75" customHeight="1" thickBot="1">
      <c r="A39" s="39"/>
      <c r="B39" s="219"/>
      <c r="C39" s="153"/>
      <c r="D39" s="153"/>
      <c r="E39" s="153"/>
      <c r="F39" s="153"/>
      <c r="G39" s="153"/>
      <c r="H39" s="220"/>
      <c r="I39" s="39"/>
      <c r="J39" s="81"/>
      <c r="K39" s="91">
        <v>29</v>
      </c>
      <c r="L39" s="101"/>
      <c r="M39" s="116"/>
      <c r="N39" s="117"/>
      <c r="O39" s="82"/>
      <c r="P39" s="91">
        <v>29</v>
      </c>
      <c r="Q39" s="129" t="s">
        <v>242</v>
      </c>
      <c r="R39" s="131">
        <v>423570150166</v>
      </c>
      <c r="S39" s="131" t="s">
        <v>243</v>
      </c>
      <c r="T39" s="83"/>
      <c r="U39" s="39"/>
      <c r="V39" s="39"/>
      <c r="W39" s="39"/>
      <c r="X39" s="39"/>
      <c r="Y39" s="39"/>
      <c r="Z39" s="39"/>
      <c r="AA39" s="39"/>
      <c r="AB39" s="39"/>
      <c r="AC39" s="39"/>
      <c r="AD39" s="39"/>
    </row>
    <row r="40" spans="1:30" ht="15.75" customHeight="1" thickBot="1">
      <c r="A40" s="39"/>
      <c r="B40" s="222"/>
      <c r="C40" s="223"/>
      <c r="D40" s="223"/>
      <c r="E40" s="223"/>
      <c r="F40" s="223"/>
      <c r="G40" s="223"/>
      <c r="H40" s="224"/>
      <c r="I40" s="39"/>
      <c r="J40" s="81"/>
      <c r="K40" s="91">
        <v>30</v>
      </c>
      <c r="L40" s="101"/>
      <c r="M40" s="116"/>
      <c r="N40" s="117"/>
      <c r="O40" s="82"/>
      <c r="P40" s="91">
        <v>30</v>
      </c>
      <c r="Q40" s="129" t="s">
        <v>244</v>
      </c>
      <c r="R40" s="131">
        <v>121534150001</v>
      </c>
      <c r="S40" s="133">
        <v>40246</v>
      </c>
      <c r="T40" s="83"/>
      <c r="U40" s="39"/>
      <c r="V40" s="39"/>
      <c r="W40" s="39"/>
      <c r="X40" s="39"/>
      <c r="Y40" s="39"/>
      <c r="Z40" s="39"/>
      <c r="AA40" s="39"/>
      <c r="AB40" s="39"/>
      <c r="AC40" s="39"/>
      <c r="AD40" s="39"/>
    </row>
    <row r="41" spans="1:30" ht="15.75" customHeight="1">
      <c r="A41" s="39"/>
      <c r="B41" s="39"/>
      <c r="C41" s="39"/>
      <c r="D41" s="39"/>
      <c r="E41" s="39"/>
      <c r="F41" s="39"/>
      <c r="G41" s="39"/>
      <c r="H41" s="39"/>
      <c r="I41" s="39"/>
      <c r="J41" s="81"/>
      <c r="K41" s="91">
        <v>31</v>
      </c>
      <c r="L41" s="101"/>
      <c r="M41" s="116"/>
      <c r="N41" s="117"/>
      <c r="O41" s="82"/>
      <c r="P41" s="91">
        <v>31</v>
      </c>
      <c r="Q41" s="101"/>
      <c r="R41" s="102"/>
      <c r="S41" s="103"/>
      <c r="T41" s="83"/>
      <c r="U41" s="39"/>
      <c r="V41" s="39"/>
      <c r="W41" s="39"/>
      <c r="X41" s="39"/>
      <c r="Y41" s="39"/>
      <c r="Z41" s="39"/>
      <c r="AA41" s="39"/>
      <c r="AB41" s="39"/>
      <c r="AC41" s="39"/>
      <c r="AD41" s="39"/>
    </row>
    <row r="42" spans="1:30" ht="15.75" customHeight="1">
      <c r="A42" s="39"/>
      <c r="B42" s="39"/>
      <c r="C42" s="39"/>
      <c r="D42" s="39"/>
      <c r="E42" s="39"/>
      <c r="F42" s="39"/>
      <c r="G42" s="39"/>
      <c r="H42" s="39"/>
      <c r="I42" s="39"/>
      <c r="J42" s="81"/>
      <c r="K42" s="91">
        <v>32</v>
      </c>
      <c r="L42" s="101"/>
      <c r="M42" s="116"/>
      <c r="N42" s="117"/>
      <c r="O42" s="82"/>
      <c r="P42" s="91">
        <v>32</v>
      </c>
      <c r="Q42" s="101"/>
      <c r="R42" s="102"/>
      <c r="S42" s="103"/>
      <c r="T42" s="83"/>
      <c r="U42" s="39"/>
      <c r="V42" s="39"/>
      <c r="W42" s="39"/>
      <c r="X42" s="39"/>
      <c r="Y42" s="39"/>
      <c r="Z42" s="39"/>
      <c r="AA42" s="39"/>
      <c r="AB42" s="39"/>
      <c r="AC42" s="39"/>
      <c r="AD42" s="39"/>
    </row>
    <row r="43" spans="1:30" ht="15.75" customHeight="1">
      <c r="A43" s="39"/>
      <c r="B43" s="39"/>
      <c r="C43" s="39"/>
      <c r="D43" s="39"/>
      <c r="E43" s="39"/>
      <c r="F43" s="39"/>
      <c r="G43" s="39"/>
      <c r="H43" s="39"/>
      <c r="I43" s="39"/>
      <c r="J43" s="81"/>
      <c r="K43" s="91">
        <v>33</v>
      </c>
      <c r="L43" s="101"/>
      <c r="M43" s="116"/>
      <c r="N43" s="117"/>
      <c r="O43" s="82"/>
      <c r="P43" s="91">
        <v>33</v>
      </c>
      <c r="Q43" s="101"/>
      <c r="R43" s="102"/>
      <c r="S43" s="103"/>
      <c r="T43" s="83"/>
      <c r="U43" s="39"/>
      <c r="V43" s="39"/>
      <c r="W43" s="39"/>
      <c r="X43" s="39"/>
      <c r="Y43" s="39"/>
      <c r="Z43" s="39"/>
      <c r="AA43" s="39"/>
      <c r="AB43" s="39"/>
      <c r="AC43" s="39"/>
      <c r="AD43" s="39"/>
    </row>
    <row r="44" spans="1:30" ht="15.75" customHeight="1">
      <c r="A44" s="39"/>
      <c r="B44" s="39"/>
      <c r="C44" s="39"/>
      <c r="D44" s="39"/>
      <c r="E44" s="39"/>
      <c r="F44" s="39"/>
      <c r="G44" s="39"/>
      <c r="H44" s="39"/>
      <c r="I44" s="39"/>
      <c r="J44" s="81"/>
      <c r="K44" s="91">
        <v>34</v>
      </c>
      <c r="L44" s="101"/>
      <c r="M44" s="116"/>
      <c r="N44" s="117"/>
      <c r="O44" s="82"/>
      <c r="P44" s="91">
        <v>34</v>
      </c>
      <c r="Q44" s="101"/>
      <c r="R44" s="102"/>
      <c r="S44" s="103"/>
      <c r="T44" s="83"/>
      <c r="U44" s="39"/>
      <c r="V44" s="39"/>
      <c r="W44" s="39"/>
      <c r="X44" s="39"/>
      <c r="Y44" s="39"/>
      <c r="Z44" s="39"/>
      <c r="AA44" s="39"/>
      <c r="AB44" s="39"/>
      <c r="AC44" s="39"/>
      <c r="AD44" s="39"/>
    </row>
    <row r="45" spans="1:30" ht="15.75" customHeight="1">
      <c r="A45" s="39"/>
      <c r="B45" s="39"/>
      <c r="C45" s="39"/>
      <c r="D45" s="39"/>
      <c r="E45" s="39"/>
      <c r="F45" s="39"/>
      <c r="G45" s="39"/>
      <c r="H45" s="39"/>
      <c r="I45" s="39"/>
      <c r="J45" s="81"/>
      <c r="K45" s="91">
        <v>35</v>
      </c>
      <c r="L45" s="101"/>
      <c r="M45" s="116"/>
      <c r="N45" s="117"/>
      <c r="O45" s="82"/>
      <c r="P45" s="91">
        <v>35</v>
      </c>
      <c r="Q45" s="101"/>
      <c r="R45" s="102"/>
      <c r="S45" s="103"/>
      <c r="T45" s="83"/>
      <c r="U45" s="39"/>
      <c r="V45" s="39"/>
      <c r="W45" s="39"/>
      <c r="X45" s="39"/>
      <c r="Y45" s="39"/>
      <c r="Z45" s="39"/>
      <c r="AA45" s="39"/>
      <c r="AB45" s="39"/>
      <c r="AC45" s="39"/>
      <c r="AD45" s="39"/>
    </row>
    <row r="46" spans="1:30" ht="15.75" customHeight="1">
      <c r="A46" s="39"/>
      <c r="B46" s="39"/>
      <c r="C46" s="39"/>
      <c r="D46" s="39"/>
      <c r="E46" s="39"/>
      <c r="F46" s="39"/>
      <c r="G46" s="39"/>
      <c r="H46" s="39"/>
      <c r="I46" s="39"/>
      <c r="J46" s="81"/>
      <c r="K46" s="91">
        <v>36</v>
      </c>
      <c r="L46" s="101"/>
      <c r="M46" s="116"/>
      <c r="N46" s="117"/>
      <c r="O46" s="82"/>
      <c r="P46" s="91">
        <v>36</v>
      </c>
      <c r="Q46" s="101"/>
      <c r="R46" s="102"/>
      <c r="S46" s="103"/>
      <c r="T46" s="83"/>
      <c r="U46" s="39"/>
      <c r="V46" s="39"/>
      <c r="W46" s="39"/>
      <c r="X46" s="39"/>
      <c r="Y46" s="39"/>
      <c r="Z46" s="39"/>
      <c r="AA46" s="39"/>
      <c r="AB46" s="39"/>
      <c r="AC46" s="39"/>
      <c r="AD46" s="39"/>
    </row>
    <row r="47" spans="1:30" ht="15.75" customHeight="1">
      <c r="A47" s="39"/>
      <c r="B47" s="39"/>
      <c r="C47" s="39"/>
      <c r="D47" s="39"/>
      <c r="E47" s="39"/>
      <c r="F47" s="39"/>
      <c r="G47" s="39"/>
      <c r="H47" s="39"/>
      <c r="I47" s="39"/>
      <c r="J47" s="81"/>
      <c r="K47" s="91">
        <v>37</v>
      </c>
      <c r="L47" s="101"/>
      <c r="M47" s="116"/>
      <c r="N47" s="117"/>
      <c r="O47" s="82"/>
      <c r="P47" s="91">
        <v>37</v>
      </c>
      <c r="Q47" s="101"/>
      <c r="R47" s="102"/>
      <c r="S47" s="103"/>
      <c r="T47" s="83"/>
      <c r="U47" s="39"/>
      <c r="V47" s="39"/>
      <c r="W47" s="39"/>
      <c r="X47" s="39"/>
      <c r="Y47" s="39"/>
      <c r="Z47" s="39"/>
      <c r="AA47" s="39"/>
      <c r="AB47" s="39"/>
      <c r="AC47" s="39"/>
      <c r="AD47" s="39"/>
    </row>
    <row r="48" spans="1:30" ht="15.75" customHeight="1">
      <c r="A48" s="39"/>
      <c r="B48" s="39"/>
      <c r="C48" s="39"/>
      <c r="D48" s="39"/>
      <c r="E48" s="39"/>
      <c r="F48" s="39"/>
      <c r="G48" s="39"/>
      <c r="H48" s="39"/>
      <c r="I48" s="39"/>
      <c r="J48" s="81"/>
      <c r="K48" s="91">
        <v>38</v>
      </c>
      <c r="L48" s="101"/>
      <c r="M48" s="116"/>
      <c r="N48" s="117"/>
      <c r="O48" s="82"/>
      <c r="P48" s="91">
        <v>38</v>
      </c>
      <c r="Q48" s="101"/>
      <c r="R48" s="102"/>
      <c r="S48" s="103"/>
      <c r="T48" s="83"/>
      <c r="U48" s="39"/>
      <c r="V48" s="39"/>
      <c r="W48" s="39"/>
      <c r="X48" s="39"/>
      <c r="Y48" s="39"/>
      <c r="Z48" s="39"/>
      <c r="AA48" s="39"/>
      <c r="AB48" s="39"/>
      <c r="AC48" s="39"/>
      <c r="AD48" s="39"/>
    </row>
    <row r="49" spans="1:30" ht="15.75" customHeight="1">
      <c r="A49" s="39"/>
      <c r="B49" s="39"/>
      <c r="C49" s="39"/>
      <c r="D49" s="39"/>
      <c r="E49" s="39"/>
      <c r="F49" s="39"/>
      <c r="G49" s="39"/>
      <c r="H49" s="39"/>
      <c r="I49" s="39"/>
      <c r="J49" s="81"/>
      <c r="K49" s="91">
        <v>39</v>
      </c>
      <c r="L49" s="101"/>
      <c r="M49" s="116"/>
      <c r="N49" s="117"/>
      <c r="O49" s="82"/>
      <c r="P49" s="91">
        <v>39</v>
      </c>
      <c r="Q49" s="101"/>
      <c r="R49" s="102"/>
      <c r="S49" s="103"/>
      <c r="T49" s="83"/>
      <c r="U49" s="39"/>
      <c r="V49" s="39"/>
      <c r="W49" s="39"/>
      <c r="X49" s="39"/>
      <c r="Y49" s="39"/>
      <c r="Z49" s="39"/>
      <c r="AA49" s="39"/>
      <c r="AB49" s="39"/>
      <c r="AC49" s="39"/>
      <c r="AD49" s="39"/>
    </row>
    <row r="50" spans="1:30" ht="15.75" customHeight="1">
      <c r="A50" s="39"/>
      <c r="B50" s="39"/>
      <c r="C50" s="39"/>
      <c r="D50" s="39"/>
      <c r="E50" s="39"/>
      <c r="F50" s="39"/>
      <c r="G50" s="39"/>
      <c r="H50" s="39"/>
      <c r="I50" s="39"/>
      <c r="J50" s="81"/>
      <c r="K50" s="91">
        <v>40</v>
      </c>
      <c r="L50" s="101"/>
      <c r="M50" s="116"/>
      <c r="N50" s="117"/>
      <c r="O50" s="82"/>
      <c r="P50" s="91">
        <v>40</v>
      </c>
      <c r="Q50" s="101"/>
      <c r="R50" s="102"/>
      <c r="S50" s="103"/>
      <c r="T50" s="83"/>
      <c r="U50" s="39"/>
      <c r="V50" s="39"/>
      <c r="W50" s="39"/>
      <c r="X50" s="39"/>
      <c r="Y50" s="39"/>
      <c r="Z50" s="39"/>
      <c r="AA50" s="39"/>
      <c r="AB50" s="39"/>
      <c r="AC50" s="39"/>
      <c r="AD50" s="39"/>
    </row>
    <row r="51" spans="1:30" ht="15.75" customHeight="1">
      <c r="A51" s="39"/>
      <c r="B51" s="39"/>
      <c r="C51" s="39"/>
      <c r="D51" s="39"/>
      <c r="E51" s="39"/>
      <c r="F51" s="39"/>
      <c r="G51" s="39"/>
      <c r="H51" s="39"/>
      <c r="I51" s="39"/>
      <c r="J51" s="81"/>
      <c r="K51" s="91">
        <v>41</v>
      </c>
      <c r="L51" s="101"/>
      <c r="M51" s="116"/>
      <c r="N51" s="117"/>
      <c r="O51" s="82"/>
      <c r="P51" s="91">
        <v>41</v>
      </c>
      <c r="Q51" s="101"/>
      <c r="R51" s="102"/>
      <c r="S51" s="103"/>
      <c r="T51" s="83"/>
      <c r="U51" s="39"/>
      <c r="V51" s="39"/>
      <c r="W51" s="39"/>
      <c r="X51" s="39"/>
      <c r="Y51" s="39"/>
      <c r="Z51" s="39"/>
      <c r="AA51" s="39"/>
      <c r="AB51" s="39"/>
      <c r="AC51" s="39"/>
      <c r="AD51" s="39"/>
    </row>
    <row r="52" spans="1:30" ht="15.75" customHeight="1">
      <c r="A52" s="39"/>
      <c r="B52" s="39"/>
      <c r="C52" s="39"/>
      <c r="D52" s="39"/>
      <c r="E52" s="39"/>
      <c r="F52" s="39"/>
      <c r="G52" s="39"/>
      <c r="H52" s="39"/>
      <c r="I52" s="39"/>
      <c r="J52" s="81"/>
      <c r="K52" s="91">
        <v>42</v>
      </c>
      <c r="L52" s="101"/>
      <c r="M52" s="116"/>
      <c r="N52" s="117"/>
      <c r="O52" s="82"/>
      <c r="P52" s="91">
        <v>42</v>
      </c>
      <c r="Q52" s="101"/>
      <c r="R52" s="102"/>
      <c r="S52" s="103"/>
      <c r="T52" s="83"/>
      <c r="U52" s="39"/>
      <c r="V52" s="39"/>
      <c r="W52" s="39"/>
      <c r="X52" s="39"/>
      <c r="Y52" s="39"/>
      <c r="Z52" s="39"/>
      <c r="AA52" s="39"/>
      <c r="AB52" s="39"/>
      <c r="AC52" s="39"/>
      <c r="AD52" s="39"/>
    </row>
    <row r="53" spans="1:30" ht="15.75" customHeight="1">
      <c r="A53" s="39"/>
      <c r="B53" s="39"/>
      <c r="C53" s="39"/>
      <c r="D53" s="39"/>
      <c r="E53" s="39"/>
      <c r="F53" s="39"/>
      <c r="G53" s="39"/>
      <c r="H53" s="39"/>
      <c r="I53" s="39"/>
      <c r="J53" s="81"/>
      <c r="K53" s="91">
        <v>43</v>
      </c>
      <c r="L53" s="101"/>
      <c r="M53" s="116"/>
      <c r="N53" s="117"/>
      <c r="O53" s="82"/>
      <c r="P53" s="91">
        <v>43</v>
      </c>
      <c r="Q53" s="101"/>
      <c r="R53" s="102"/>
      <c r="S53" s="103"/>
      <c r="T53" s="83"/>
      <c r="U53" s="39"/>
      <c r="V53" s="39"/>
      <c r="W53" s="39"/>
      <c r="X53" s="39"/>
      <c r="Y53" s="39"/>
      <c r="Z53" s="39"/>
      <c r="AA53" s="39"/>
      <c r="AB53" s="39"/>
      <c r="AC53" s="39"/>
      <c r="AD53" s="39"/>
    </row>
    <row r="54" spans="1:30" ht="15.75" customHeight="1">
      <c r="A54" s="39"/>
      <c r="B54" s="39"/>
      <c r="C54" s="39"/>
      <c r="D54" s="39"/>
      <c r="E54" s="39"/>
      <c r="F54" s="39"/>
      <c r="G54" s="39"/>
      <c r="H54" s="39"/>
      <c r="I54" s="39"/>
      <c r="J54" s="81"/>
      <c r="K54" s="91">
        <v>44</v>
      </c>
      <c r="L54" s="101"/>
      <c r="M54" s="116"/>
      <c r="N54" s="117"/>
      <c r="O54" s="82"/>
      <c r="P54" s="91">
        <v>44</v>
      </c>
      <c r="Q54" s="101"/>
      <c r="R54" s="102"/>
      <c r="S54" s="103"/>
      <c r="T54" s="83"/>
      <c r="U54" s="39"/>
      <c r="V54" s="39"/>
      <c r="W54" s="39"/>
      <c r="X54" s="39"/>
      <c r="Y54" s="39"/>
      <c r="Z54" s="39"/>
      <c r="AA54" s="39"/>
      <c r="AB54" s="39"/>
      <c r="AC54" s="39"/>
      <c r="AD54" s="39"/>
    </row>
    <row r="55" spans="1:30" ht="15.75" customHeight="1">
      <c r="A55" s="39"/>
      <c r="B55" s="39"/>
      <c r="C55" s="39"/>
      <c r="D55" s="39"/>
      <c r="E55" s="39"/>
      <c r="F55" s="39"/>
      <c r="G55" s="39"/>
      <c r="H55" s="39"/>
      <c r="I55" s="39"/>
      <c r="J55" s="81"/>
      <c r="K55" s="91">
        <v>45</v>
      </c>
      <c r="L55" s="101"/>
      <c r="M55" s="116"/>
      <c r="N55" s="117"/>
      <c r="O55" s="82"/>
      <c r="P55" s="91">
        <v>45</v>
      </c>
      <c r="Q55" s="101"/>
      <c r="R55" s="102"/>
      <c r="S55" s="103"/>
      <c r="T55" s="83"/>
      <c r="U55" s="39"/>
      <c r="V55" s="39"/>
      <c r="W55" s="39"/>
      <c r="X55" s="39"/>
      <c r="Y55" s="39"/>
      <c r="Z55" s="39"/>
      <c r="AA55" s="39"/>
      <c r="AB55" s="39"/>
      <c r="AC55" s="39"/>
      <c r="AD55" s="39"/>
    </row>
    <row r="56" spans="1:30" ht="15.75" customHeight="1">
      <c r="A56" s="39"/>
      <c r="B56" s="39"/>
      <c r="C56" s="39"/>
      <c r="D56" s="39"/>
      <c r="E56" s="39"/>
      <c r="F56" s="39"/>
      <c r="G56" s="39"/>
      <c r="H56" s="39"/>
      <c r="I56" s="39"/>
      <c r="J56" s="81"/>
      <c r="K56" s="91">
        <v>46</v>
      </c>
      <c r="L56" s="101"/>
      <c r="M56" s="116"/>
      <c r="N56" s="117"/>
      <c r="O56" s="82"/>
      <c r="P56" s="91">
        <v>46</v>
      </c>
      <c r="Q56" s="101"/>
      <c r="R56" s="102"/>
      <c r="S56" s="103"/>
      <c r="T56" s="83"/>
      <c r="U56" s="39"/>
      <c r="V56" s="39"/>
      <c r="W56" s="39"/>
      <c r="X56" s="39"/>
      <c r="Y56" s="39"/>
      <c r="Z56" s="39"/>
      <c r="AA56" s="39"/>
      <c r="AB56" s="39"/>
      <c r="AC56" s="39"/>
      <c r="AD56" s="39"/>
    </row>
    <row r="57" spans="1:30" ht="15.75" customHeight="1">
      <c r="A57" s="39"/>
      <c r="B57" s="39"/>
      <c r="C57" s="39"/>
      <c r="D57" s="39"/>
      <c r="E57" s="39"/>
      <c r="F57" s="39"/>
      <c r="G57" s="39"/>
      <c r="H57" s="39"/>
      <c r="I57" s="39"/>
      <c r="J57" s="81"/>
      <c r="K57" s="91">
        <v>47</v>
      </c>
      <c r="L57" s="101"/>
      <c r="M57" s="116"/>
      <c r="N57" s="117"/>
      <c r="O57" s="82"/>
      <c r="P57" s="91">
        <v>47</v>
      </c>
      <c r="Q57" s="101"/>
      <c r="R57" s="102"/>
      <c r="S57" s="103"/>
      <c r="T57" s="83"/>
      <c r="U57" s="39"/>
      <c r="V57" s="39"/>
      <c r="W57" s="39"/>
      <c r="X57" s="39"/>
      <c r="Y57" s="39"/>
      <c r="Z57" s="39"/>
      <c r="AA57" s="39"/>
      <c r="AB57" s="39"/>
      <c r="AC57" s="39"/>
      <c r="AD57" s="39"/>
    </row>
    <row r="58" spans="1:30" ht="15.75" customHeight="1">
      <c r="A58" s="39"/>
      <c r="B58" s="39"/>
      <c r="C58" s="39"/>
      <c r="D58" s="39"/>
      <c r="E58" s="39"/>
      <c r="F58" s="39"/>
      <c r="G58" s="39"/>
      <c r="H58" s="39"/>
      <c r="I58" s="39"/>
      <c r="J58" s="81"/>
      <c r="K58" s="91">
        <v>48</v>
      </c>
      <c r="L58" s="101"/>
      <c r="M58" s="116"/>
      <c r="N58" s="117"/>
      <c r="O58" s="82"/>
      <c r="P58" s="91">
        <v>48</v>
      </c>
      <c r="Q58" s="101"/>
      <c r="R58" s="102"/>
      <c r="S58" s="103"/>
      <c r="T58" s="83"/>
      <c r="U58" s="39"/>
      <c r="V58" s="39"/>
      <c r="W58" s="39"/>
      <c r="X58" s="39"/>
      <c r="Y58" s="39"/>
      <c r="Z58" s="39"/>
      <c r="AA58" s="39"/>
      <c r="AB58" s="39"/>
      <c r="AC58" s="39"/>
      <c r="AD58" s="39"/>
    </row>
    <row r="59" spans="1:30" ht="15.75" customHeight="1">
      <c r="A59" s="39"/>
      <c r="B59" s="39"/>
      <c r="C59" s="39"/>
      <c r="D59" s="39"/>
      <c r="E59" s="39"/>
      <c r="F59" s="39"/>
      <c r="G59" s="39"/>
      <c r="H59" s="39"/>
      <c r="I59" s="39"/>
      <c r="J59" s="81"/>
      <c r="K59" s="91">
        <v>49</v>
      </c>
      <c r="L59" s="101"/>
      <c r="M59" s="116"/>
      <c r="N59" s="117"/>
      <c r="O59" s="82"/>
      <c r="P59" s="91">
        <v>49</v>
      </c>
      <c r="Q59" s="101"/>
      <c r="R59" s="102"/>
      <c r="S59" s="103"/>
      <c r="T59" s="83"/>
      <c r="U59" s="39"/>
      <c r="V59" s="39"/>
      <c r="W59" s="39"/>
      <c r="X59" s="39"/>
      <c r="Y59" s="39"/>
      <c r="Z59" s="39"/>
      <c r="AA59" s="39"/>
      <c r="AB59" s="39"/>
      <c r="AC59" s="39"/>
      <c r="AD59" s="39"/>
    </row>
    <row r="60" spans="1:30" ht="15.75" customHeight="1">
      <c r="A60" s="39"/>
      <c r="B60" s="39"/>
      <c r="C60" s="39"/>
      <c r="D60" s="39"/>
      <c r="E60" s="39"/>
      <c r="F60" s="39"/>
      <c r="G60" s="39"/>
      <c r="H60" s="39"/>
      <c r="I60" s="39"/>
      <c r="J60" s="81"/>
      <c r="K60" s="91">
        <v>50</v>
      </c>
      <c r="L60" s="101"/>
      <c r="M60" s="116"/>
      <c r="N60" s="117"/>
      <c r="O60" s="82"/>
      <c r="P60" s="91">
        <v>50</v>
      </c>
      <c r="Q60" s="101"/>
      <c r="R60" s="102"/>
      <c r="S60" s="103"/>
      <c r="T60" s="83"/>
      <c r="U60" s="39"/>
      <c r="V60" s="39"/>
      <c r="W60" s="39"/>
      <c r="X60" s="39"/>
      <c r="Y60" s="39"/>
      <c r="Z60" s="39"/>
      <c r="AA60" s="39"/>
      <c r="AB60" s="39"/>
      <c r="AC60" s="39"/>
      <c r="AD60" s="39"/>
    </row>
    <row r="61" spans="1:30" ht="15.75" customHeight="1">
      <c r="A61" s="39"/>
      <c r="B61" s="39"/>
      <c r="C61" s="39"/>
      <c r="D61" s="39"/>
      <c r="E61" s="39"/>
      <c r="F61" s="39"/>
      <c r="G61" s="39"/>
      <c r="H61" s="39"/>
      <c r="I61" s="39"/>
      <c r="J61" s="104"/>
      <c r="K61" s="105"/>
      <c r="L61" s="105"/>
      <c r="M61" s="105"/>
      <c r="N61" s="105"/>
      <c r="O61" s="105"/>
      <c r="P61" s="105"/>
      <c r="Q61" s="105"/>
      <c r="R61" s="105"/>
      <c r="S61" s="105"/>
      <c r="T61" s="106"/>
      <c r="U61" s="39"/>
      <c r="V61" s="39"/>
      <c r="W61" s="39"/>
      <c r="X61" s="39"/>
      <c r="Y61" s="39"/>
      <c r="Z61" s="39"/>
      <c r="AA61" s="39"/>
      <c r="AB61" s="39"/>
      <c r="AC61" s="39"/>
      <c r="AD61" s="39"/>
    </row>
    <row r="62" spans="1:30" ht="15.75" customHeight="1">
      <c r="A62" s="39"/>
      <c r="B62" s="39"/>
      <c r="C62" s="39"/>
      <c r="D62" s="39"/>
      <c r="E62" s="39"/>
      <c r="F62" s="39"/>
      <c r="G62" s="39"/>
      <c r="H62" s="39"/>
      <c r="I62" s="39"/>
      <c r="J62" s="39"/>
      <c r="K62" s="39"/>
      <c r="L62" s="39"/>
      <c r="M62" s="39"/>
      <c r="N62" s="39"/>
      <c r="O62" s="39"/>
      <c r="P62" s="39"/>
      <c r="Q62" s="39"/>
      <c r="R62" s="39"/>
      <c r="S62" s="39"/>
      <c r="T62" s="118" t="s">
        <v>32</v>
      </c>
      <c r="U62" s="39"/>
      <c r="V62" s="39"/>
      <c r="W62" s="39"/>
      <c r="X62" s="39"/>
      <c r="Y62" s="39"/>
      <c r="Z62" s="39"/>
      <c r="AA62" s="39"/>
      <c r="AB62" s="39"/>
      <c r="AC62" s="39"/>
      <c r="AD62" s="39"/>
    </row>
    <row r="63" spans="1:30" ht="15.75" customHeight="1">
      <c r="A63" s="39"/>
      <c r="B63" s="39"/>
      <c r="C63" s="39"/>
      <c r="D63" s="39"/>
      <c r="E63" s="39"/>
      <c r="F63" s="39"/>
      <c r="G63" s="39"/>
      <c r="H63" s="39"/>
      <c r="I63" s="39"/>
      <c r="U63" s="39"/>
      <c r="V63" s="39"/>
      <c r="W63" s="39"/>
      <c r="X63" s="39"/>
      <c r="Y63" s="39"/>
      <c r="Z63" s="39"/>
      <c r="AA63" s="39"/>
      <c r="AB63" s="39"/>
      <c r="AC63" s="39"/>
      <c r="AD63" s="39"/>
    </row>
    <row r="64" spans="1:30" ht="15.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row>
    <row r="65" spans="1:30" ht="15.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row>
    <row r="66" spans="1:30" ht="15.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row>
    <row r="67" spans="1:30" ht="15.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row>
    <row r="68" spans="1:30" ht="15.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row>
    <row r="69" spans="1:30" ht="15.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row>
    <row r="70" spans="1:30" ht="15.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row>
    <row r="71" spans="1:30" ht="15.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row>
    <row r="72" spans="1:30" ht="15.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row>
    <row r="73" spans="1:30" ht="15.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row>
    <row r="74" spans="1:30" ht="15.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row>
    <row r="75" spans="1:30" ht="15.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row>
    <row r="76" spans="1:30"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row>
    <row r="77" spans="1:30"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row>
    <row r="78" spans="1:30"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row>
    <row r="79" spans="1:30"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row>
    <row r="80" spans="1:30"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row>
    <row r="81" spans="1:30"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row>
    <row r="82" spans="1:30"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row>
    <row r="83" spans="1:30"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row>
    <row r="84" spans="1:30"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row>
    <row r="85" spans="1:30"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row>
    <row r="86" spans="1:30"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row>
    <row r="87" spans="1:30"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row>
    <row r="88" spans="1:30"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row>
    <row r="89" spans="1:30"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row>
    <row r="90" spans="1:30"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row>
    <row r="91" spans="1:30"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row>
    <row r="92" spans="1:30"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row>
    <row r="93" spans="1:30"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row>
    <row r="94" spans="1:30"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row>
    <row r="95" spans="1:30"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row>
    <row r="96" spans="1:30"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row>
    <row r="97" spans="1:30"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row>
    <row r="98" spans="1:30"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row>
    <row r="99" spans="1:30"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row>
    <row r="100" spans="1:30"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row>
    <row r="101" spans="1:30"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row>
    <row r="102" spans="1:30"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row>
    <row r="103" spans="1:30"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row>
    <row r="104" spans="1:30"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row>
    <row r="105" spans="1:30"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row>
    <row r="106" spans="1:30"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row>
    <row r="107" spans="1:30"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row>
    <row r="108" spans="1:30"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row>
    <row r="109" spans="1:30"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row>
    <row r="110" spans="1:30"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row>
    <row r="111" spans="1:30"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row>
    <row r="112" spans="1:30"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row>
    <row r="113" spans="1:30"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row>
    <row r="114" spans="1:30"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row>
    <row r="115" spans="1:30"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row>
    <row r="116" spans="1:30"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row>
    <row r="117" spans="1:30"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row>
    <row r="118" spans="1:30"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row>
    <row r="119" spans="1:30"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row>
    <row r="120" spans="1:30"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row>
    <row r="121" spans="1:30"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row>
    <row r="122" spans="1:30"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row>
    <row r="123" spans="1:30"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row>
    <row r="124" spans="1:30"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row>
    <row r="125" spans="1:30"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row>
    <row r="126" spans="1:30"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row>
    <row r="127" spans="1:30"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row>
    <row r="128" spans="1:30"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row>
    <row r="129" spans="1:30"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row>
    <row r="130" spans="1:30"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row>
    <row r="131" spans="1:30"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row>
    <row r="132" spans="1:30"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row>
    <row r="133" spans="1:30"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row>
    <row r="134" spans="1:30"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row>
    <row r="135" spans="1:30"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row>
    <row r="136" spans="1:30"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row>
    <row r="137" spans="1:30"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row>
    <row r="138" spans="1:30"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row>
    <row r="139" spans="1:30"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row>
    <row r="140" spans="1:30"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row>
    <row r="141" spans="1:30"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row>
    <row r="142" spans="1:30"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row>
    <row r="143" spans="1:30"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row>
    <row r="144" spans="1:30"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row>
    <row r="145" spans="1:30"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row>
    <row r="146" spans="1:30"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row>
    <row r="147" spans="1:30"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row>
    <row r="148" spans="1:30"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row>
    <row r="149" spans="1:30"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row>
    <row r="150" spans="1:30"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row>
    <row r="151" spans="1:30"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row>
    <row r="152" spans="1:30"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row>
    <row r="153" spans="1:30"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row>
    <row r="154" spans="1:30"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row>
    <row r="155" spans="1:30"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row>
    <row r="156" spans="1:30"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row>
    <row r="157" spans="1:30"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row>
    <row r="158" spans="1:30"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row>
    <row r="159" spans="1:30"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row>
    <row r="160" spans="1:3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row>
    <row r="161" spans="1:30"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row>
    <row r="162" spans="1:30"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row>
    <row r="163" spans="1:30"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row>
    <row r="164" spans="1:30"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row>
    <row r="165" spans="1:30"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row>
    <row r="166" spans="1:30"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row>
    <row r="167" spans="1:30"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row>
    <row r="168" spans="1:30"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row>
    <row r="169" spans="1:30"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row>
    <row r="170" spans="1:3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row>
    <row r="171" spans="1:30"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row>
    <row r="172" spans="1:30"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row>
    <row r="173" spans="1:30"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row>
    <row r="174" spans="1:30"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row>
    <row r="175" spans="1:30"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row>
    <row r="176" spans="1:30"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row>
    <row r="177" spans="1:30"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row>
    <row r="178" spans="1:30"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row>
    <row r="179" spans="1:30"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row>
    <row r="180" spans="1:3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row>
    <row r="181" spans="1:30"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row>
    <row r="182" spans="1:30"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row>
    <row r="183" spans="1:30"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row>
    <row r="184" spans="1:30"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row>
    <row r="185" spans="1:30"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row>
    <row r="186" spans="1:30"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row>
    <row r="187" spans="1:30"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row>
    <row r="188" spans="1:30"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row>
    <row r="189" spans="1:30"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row>
    <row r="190" spans="1:3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row>
    <row r="191" spans="1:30"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row>
    <row r="192" spans="1:30"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row>
    <row r="193" spans="1:30"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row>
    <row r="194" spans="1:30"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row>
    <row r="195" spans="1:30"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row>
    <row r="196" spans="1:30"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row>
    <row r="197" spans="1:30"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row>
    <row r="198" spans="1:30"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row>
    <row r="199" spans="1:30"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row>
    <row r="200" spans="1:3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row>
    <row r="201" spans="1:30"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row>
    <row r="202" spans="1:30"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row>
    <row r="203" spans="1:30"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row>
    <row r="204" spans="1:30"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row>
    <row r="205" spans="1:30"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row>
    <row r="206" spans="1:30"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row>
    <row r="207" spans="1:30"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row>
    <row r="208" spans="1:30"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row>
    <row r="209" spans="1:30"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row>
    <row r="210" spans="1:3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row>
    <row r="211" spans="1:30"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row>
    <row r="212" spans="1:30"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row>
    <row r="213" spans="1:30"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row>
    <row r="214" spans="1:30"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row>
    <row r="215" spans="1:30"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row>
    <row r="216" spans="1:30"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row>
    <row r="217" spans="1:30"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row>
    <row r="218" spans="1:30"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row>
    <row r="219" spans="1:30"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row>
    <row r="220" spans="1:3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row>
    <row r="221" spans="1:30"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row>
    <row r="222" spans="1:30"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row>
    <row r="223" spans="1:30"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row>
    <row r="224" spans="1:30"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row>
    <row r="225" spans="1:30"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row>
    <row r="226" spans="1:30"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row>
    <row r="227" spans="1:30"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row>
    <row r="228" spans="1:30"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row>
    <row r="229" spans="1:30"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row>
    <row r="230" spans="1: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row>
    <row r="231" spans="1:30"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row>
    <row r="232" spans="1:30"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row>
    <row r="233" spans="1:30"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row>
    <row r="234" spans="1:30"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row>
    <row r="235" spans="1:30"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row>
    <row r="236" spans="1:30"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row>
    <row r="237" spans="1:30"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row>
    <row r="238" spans="1:30"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row>
    <row r="239" spans="1:30"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row>
    <row r="240" spans="1:3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row>
    <row r="241" spans="1:30"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row>
    <row r="242" spans="1:30"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row>
    <row r="243" spans="1:30"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row>
    <row r="244" spans="1:30"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row>
    <row r="245" spans="1:30"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row>
    <row r="246" spans="1:30"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row>
    <row r="247" spans="1:30"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row>
    <row r="248" spans="1:30"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row>
    <row r="249" spans="1:30"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row>
    <row r="250" spans="1:3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row>
    <row r="251" spans="1:30"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row>
    <row r="252" spans="1:30"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row>
    <row r="253" spans="1:30"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row>
    <row r="254" spans="1:30"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row>
    <row r="255" spans="1:30"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row>
    <row r="256" spans="1:30"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row>
    <row r="257" spans="1:30"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row>
    <row r="258" spans="1:30"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row>
    <row r="259" spans="1:30"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row>
    <row r="260" spans="1:30"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row>
    <row r="261" spans="1:30"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row>
    <row r="262" spans="1:30"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row>
    <row r="263" spans="1:30" ht="15.75" customHeight="1"/>
    <row r="264" spans="1:30" ht="15.75" customHeight="1"/>
    <row r="265" spans="1:30" ht="15.75" customHeight="1"/>
    <row r="266" spans="1:30" ht="15.75" customHeight="1"/>
    <row r="267" spans="1:30" ht="15.75" customHeight="1"/>
    <row r="268" spans="1:30" ht="15.75" customHeight="1"/>
    <row r="269" spans="1:30" ht="15.75" customHeight="1"/>
    <row r="270" spans="1:30" ht="15.75" customHeight="1"/>
    <row r="271" spans="1:30" ht="15.75" customHeight="1"/>
    <row r="272" spans="1:30"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U5"/>
    <mergeCell ref="B7:H8"/>
    <mergeCell ref="J7:T8"/>
    <mergeCell ref="B38:H40"/>
    <mergeCell ref="B23:H24"/>
    <mergeCell ref="F16:G17"/>
    <mergeCell ref="C31:G34"/>
    <mergeCell ref="C16:D17"/>
    <mergeCell ref="F26:G26"/>
    <mergeCell ref="C27:D27"/>
    <mergeCell ref="F28:G28"/>
    <mergeCell ref="F29:G29"/>
    <mergeCell ref="E16:E17"/>
    <mergeCell ref="C15:D15"/>
    <mergeCell ref="C18:D18"/>
    <mergeCell ref="F18:G18"/>
    <mergeCell ref="C19:D19"/>
    <mergeCell ref="F19:G19"/>
    <mergeCell ref="C10:D10"/>
    <mergeCell ref="F10:G10"/>
    <mergeCell ref="C11:D11"/>
    <mergeCell ref="C12:D12"/>
    <mergeCell ref="C13:D13"/>
  </mergeCells>
  <conditionalFormatting sqref="M25:M34">
    <cfRule type="duplicateValues" dxfId="1" priority="3"/>
  </conditionalFormatting>
  <conditionalFormatting sqref="R11:R18">
    <cfRule type="duplicateValues" dxfId="0" priority="1"/>
  </conditionalFormatting>
  <dataValidations count="4">
    <dataValidation type="list" allowBlank="1" showErrorMessage="1" sqref="F10" xr:uid="{00000000-0002-0000-0100-000000000000}">
      <formula1>"Select Region,CAR,NCR,Region I,Region II,Region III,Region IV-A,MIMAROPA,Region V,Region VI,Region VII,Region VIII,NIR,Region IX,Region X,Region XI,Region XII,CARAGA,BARMM"</formula1>
    </dataValidation>
    <dataValidation type="list" allowBlank="1" showErrorMessage="1" sqref="F18" xr:uid="{00000000-0002-0000-0100-000001000000}">
      <formula1>"2026-2027,2027-2028,2028-2029,2029-2030"</formula1>
    </dataValidation>
    <dataValidation type="list" allowBlank="1" showErrorMessage="1" sqref="F27" xr:uid="{00000000-0002-0000-0100-000002000000}">
      <formula1>"11"</formula1>
    </dataValidation>
    <dataValidation type="list" allowBlank="1" showErrorMessage="1" sqref="F28" xr:uid="{00000000-0002-0000-0100-000003000000}">
      <formula1>"Academic"</formula1>
    </dataValidation>
  </dataValidations>
  <pageMargins left="0.25" right="0.25" top="0.75" bottom="0.75" header="0" footer="0"/>
  <pageSetup paperSize="9" fitToWidth="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outlinePr summaryBelow="0" summaryRight="0"/>
    <pageSetUpPr fitToPage="1"/>
  </sheetPr>
  <dimension ref="A1:AC1000"/>
  <sheetViews>
    <sheetView showGridLines="0" topLeftCell="A9" zoomScale="80" zoomScaleNormal="80" workbookViewId="0">
      <selection activeCell="K16" sqref="K16"/>
    </sheetView>
  </sheetViews>
  <sheetFormatPr defaultColWidth="12.6640625" defaultRowHeight="15" customHeight="1"/>
  <cols>
    <col min="1" max="2" width="3.88671875" customWidth="1"/>
    <col min="3" max="3" width="13.109375" customWidth="1"/>
    <col min="4" max="5" width="12.6640625" customWidth="1"/>
    <col min="6" max="6" width="16.21875" customWidth="1"/>
    <col min="7" max="7" width="19.44140625" customWidth="1"/>
    <col min="8" max="8" width="12.6640625" customWidth="1"/>
    <col min="9" max="9" width="5.6640625" customWidth="1"/>
    <col min="10" max="10" width="5.109375" customWidth="1"/>
    <col min="11" max="11" width="13.88671875" customWidth="1"/>
    <col min="12" max="13" width="13.77734375" customWidth="1"/>
    <col min="14" max="14" width="12.77734375" customWidth="1"/>
    <col min="15" max="15" width="11.33203125" customWidth="1"/>
    <col min="16" max="16" width="13.44140625" customWidth="1"/>
    <col min="17" max="17" width="9.44140625" customWidth="1"/>
    <col min="18" max="18" width="10.77734375" customWidth="1"/>
    <col min="19" max="19" width="3.88671875" customWidth="1"/>
    <col min="20" max="29" width="12.6640625" customWidth="1"/>
  </cols>
  <sheetData>
    <row r="1" spans="1:29" ht="15.75" customHeight="1">
      <c r="A1" s="266" t="s">
        <v>33</v>
      </c>
      <c r="B1" s="153"/>
      <c r="C1" s="153"/>
      <c r="D1" s="153"/>
      <c r="E1" s="153"/>
      <c r="F1" s="153"/>
      <c r="G1" s="153"/>
      <c r="H1" s="153"/>
      <c r="I1" s="153"/>
      <c r="J1" s="153"/>
      <c r="K1" s="153"/>
      <c r="L1" s="153"/>
      <c r="M1" s="153"/>
      <c r="N1" s="153"/>
      <c r="O1" s="153"/>
      <c r="P1" s="153"/>
      <c r="Q1" s="153"/>
      <c r="R1" s="153"/>
      <c r="S1" s="153"/>
      <c r="T1" s="2"/>
      <c r="U1" s="2"/>
      <c r="V1" s="2"/>
      <c r="W1" s="2"/>
      <c r="X1" s="2"/>
      <c r="Y1" s="2"/>
      <c r="Z1" s="2"/>
      <c r="AA1" s="2"/>
      <c r="AB1" s="2"/>
      <c r="AC1" s="2"/>
    </row>
    <row r="2" spans="1:29" ht="15.75" customHeight="1">
      <c r="A2" s="153"/>
      <c r="B2" s="153"/>
      <c r="C2" s="153"/>
      <c r="D2" s="153"/>
      <c r="E2" s="153"/>
      <c r="F2" s="153"/>
      <c r="G2" s="153"/>
      <c r="H2" s="153"/>
      <c r="I2" s="153"/>
      <c r="J2" s="153"/>
      <c r="K2" s="153"/>
      <c r="L2" s="153"/>
      <c r="M2" s="153"/>
      <c r="N2" s="153"/>
      <c r="O2" s="153"/>
      <c r="P2" s="153"/>
      <c r="Q2" s="153"/>
      <c r="R2" s="153"/>
      <c r="S2" s="153"/>
      <c r="T2" s="2"/>
      <c r="U2" s="2"/>
      <c r="V2" s="2"/>
      <c r="W2" s="2"/>
      <c r="X2" s="2"/>
      <c r="Y2" s="2"/>
      <c r="Z2" s="2"/>
      <c r="AA2" s="2"/>
      <c r="AB2" s="2"/>
      <c r="AC2" s="2"/>
    </row>
    <row r="3" spans="1:29" ht="15.75" customHeight="1">
      <c r="A3" s="153"/>
      <c r="B3" s="153"/>
      <c r="C3" s="153"/>
      <c r="D3" s="153"/>
      <c r="E3" s="153"/>
      <c r="F3" s="153"/>
      <c r="G3" s="153"/>
      <c r="H3" s="153"/>
      <c r="I3" s="153"/>
      <c r="J3" s="153"/>
      <c r="K3" s="153"/>
      <c r="L3" s="153"/>
      <c r="M3" s="153"/>
      <c r="N3" s="153"/>
      <c r="O3" s="153"/>
      <c r="P3" s="153"/>
      <c r="Q3" s="153"/>
      <c r="R3" s="153"/>
      <c r="S3" s="153"/>
      <c r="T3" s="2"/>
      <c r="U3" s="2"/>
      <c r="V3" s="2"/>
      <c r="W3" s="2"/>
      <c r="X3" s="2"/>
      <c r="Y3" s="2"/>
      <c r="Z3" s="2"/>
      <c r="AA3" s="2"/>
      <c r="AB3" s="2"/>
      <c r="AC3" s="2"/>
    </row>
    <row r="4" spans="1:29" ht="15.75" customHeight="1">
      <c r="A4" s="153"/>
      <c r="B4" s="153"/>
      <c r="C4" s="153"/>
      <c r="D4" s="153"/>
      <c r="E4" s="153"/>
      <c r="F4" s="153"/>
      <c r="G4" s="153"/>
      <c r="H4" s="153"/>
      <c r="I4" s="153"/>
      <c r="J4" s="153"/>
      <c r="K4" s="153"/>
      <c r="L4" s="153"/>
      <c r="M4" s="153"/>
      <c r="N4" s="153"/>
      <c r="O4" s="153"/>
      <c r="P4" s="153"/>
      <c r="Q4" s="153"/>
      <c r="R4" s="153"/>
      <c r="S4" s="153"/>
      <c r="T4" s="3"/>
      <c r="U4" s="3"/>
      <c r="V4" s="3"/>
      <c r="W4" s="3"/>
      <c r="X4" s="3"/>
      <c r="Y4" s="3"/>
      <c r="Z4" s="3"/>
      <c r="AA4" s="3"/>
      <c r="AB4" s="3"/>
      <c r="AC4" s="3"/>
    </row>
    <row r="5" spans="1:29" ht="15.75" customHeight="1">
      <c r="A5" s="35"/>
      <c r="B5" s="36"/>
      <c r="C5" s="37"/>
      <c r="D5" s="38" t="s">
        <v>3</v>
      </c>
      <c r="E5" s="230" t="str">
        <f>IF('INPUT DATA'!F10="","",'INPUT DATA'!F10)</f>
        <v>Region IV-A</v>
      </c>
      <c r="F5" s="231"/>
      <c r="G5" s="232"/>
      <c r="H5" s="7"/>
      <c r="I5" s="38" t="s">
        <v>10</v>
      </c>
      <c r="J5" s="230" t="str">
        <f>IF('INPUT DATA'!F11="","",'INPUT DATA'!F11)</f>
        <v>BATANGAS PROVINCE</v>
      </c>
      <c r="K5" s="231"/>
      <c r="L5" s="231"/>
      <c r="M5" s="232"/>
      <c r="N5" s="39"/>
      <c r="O5" s="40"/>
      <c r="P5" s="7"/>
      <c r="Q5" s="7"/>
      <c r="R5" s="7"/>
      <c r="S5" s="35"/>
      <c r="T5" s="35"/>
      <c r="U5" s="35"/>
      <c r="V5" s="35"/>
      <c r="W5" s="35"/>
      <c r="X5" s="35"/>
      <c r="Y5" s="35"/>
      <c r="Z5" s="35"/>
      <c r="AA5" s="35"/>
      <c r="AB5" s="35"/>
      <c r="AC5" s="35"/>
    </row>
    <row r="6" spans="1:29" ht="15.75" customHeight="1">
      <c r="A6" s="35"/>
      <c r="B6" s="36"/>
      <c r="C6" s="41"/>
      <c r="D6" s="38" t="s">
        <v>16</v>
      </c>
      <c r="E6" s="230" t="str">
        <f>IF('INPUT DATA'!F16="","",'INPUT DATA'!F16)</f>
        <v>TALISAY SENIOR HIGH SCHOOL</v>
      </c>
      <c r="F6" s="231"/>
      <c r="G6" s="232"/>
      <c r="H6" s="7"/>
      <c r="I6" s="38" t="s">
        <v>15</v>
      </c>
      <c r="J6" s="233">
        <f>IF('INPUT DATA'!F15="","",'INPUT DATA'!F15)</f>
        <v>342218</v>
      </c>
      <c r="K6" s="231"/>
      <c r="L6" s="232"/>
      <c r="M6" s="234" t="s">
        <v>19</v>
      </c>
      <c r="N6" s="153"/>
      <c r="O6" s="233" t="str">
        <f>IF('INPUT DATA'!F18="","",'INPUT DATA'!F18)</f>
        <v>2026-2027</v>
      </c>
      <c r="P6" s="232"/>
      <c r="Q6" s="1"/>
      <c r="R6" s="1"/>
      <c r="S6" s="35"/>
      <c r="T6" s="35"/>
      <c r="U6" s="35"/>
      <c r="V6" s="35"/>
      <c r="W6" s="35"/>
      <c r="X6" s="35"/>
      <c r="Y6" s="35"/>
      <c r="Z6" s="35"/>
      <c r="AA6" s="35"/>
      <c r="AB6" s="35"/>
      <c r="AC6" s="35"/>
    </row>
    <row r="7" spans="1:29" ht="15.75" customHeight="1">
      <c r="A7" s="3"/>
      <c r="B7" s="4"/>
      <c r="C7" s="5"/>
      <c r="D7" s="5"/>
      <c r="E7" s="3"/>
      <c r="F7" s="3"/>
      <c r="G7" s="42"/>
      <c r="H7" s="1"/>
      <c r="I7" s="3"/>
      <c r="J7" s="3"/>
      <c r="K7" s="3"/>
      <c r="L7" s="5"/>
      <c r="M7" s="5"/>
      <c r="N7" s="3"/>
      <c r="O7" s="3"/>
      <c r="P7" s="5"/>
      <c r="Q7" s="5"/>
      <c r="R7" s="5"/>
      <c r="S7" s="3"/>
      <c r="T7" s="3"/>
      <c r="U7" s="3"/>
      <c r="V7" s="3"/>
      <c r="W7" s="3"/>
      <c r="X7" s="3"/>
      <c r="Y7" s="3"/>
      <c r="Z7" s="3"/>
      <c r="AA7" s="3"/>
      <c r="AB7" s="3"/>
      <c r="AC7" s="3"/>
    </row>
    <row r="8" spans="1:29" ht="15.75" customHeight="1">
      <c r="A8" s="3"/>
      <c r="B8" s="235"/>
      <c r="C8" s="231"/>
      <c r="D8" s="231"/>
      <c r="E8" s="231"/>
      <c r="F8" s="231"/>
      <c r="G8" s="231"/>
      <c r="H8" s="231"/>
      <c r="I8" s="231"/>
      <c r="J8" s="231"/>
      <c r="K8" s="231"/>
      <c r="L8" s="231"/>
      <c r="M8" s="231"/>
      <c r="N8" s="231"/>
      <c r="O8" s="231"/>
      <c r="P8" s="231"/>
      <c r="Q8" s="231"/>
      <c r="R8" s="232"/>
      <c r="S8" s="3"/>
      <c r="T8" s="3"/>
      <c r="U8" s="3"/>
      <c r="V8" s="3"/>
      <c r="W8" s="3"/>
      <c r="X8" s="3"/>
      <c r="Y8" s="3"/>
      <c r="Z8" s="3"/>
      <c r="AA8" s="3"/>
      <c r="AB8" s="3"/>
      <c r="AC8" s="3"/>
    </row>
    <row r="9" spans="1:29" ht="15.75" customHeight="1">
      <c r="A9" s="2"/>
      <c r="B9" s="254" t="s">
        <v>34</v>
      </c>
      <c r="C9" s="153"/>
      <c r="D9" s="153"/>
      <c r="E9" s="220"/>
      <c r="F9" s="43" t="s">
        <v>25</v>
      </c>
      <c r="G9" s="236">
        <f>IF('INPUT DATA'!F27="","",'INPUT DATA'!F27)</f>
        <v>11</v>
      </c>
      <c r="H9" s="223"/>
      <c r="I9" s="223"/>
      <c r="J9" s="223"/>
      <c r="K9" s="224"/>
      <c r="L9" s="237" t="s">
        <v>29</v>
      </c>
      <c r="M9" s="231"/>
      <c r="N9" s="232"/>
      <c r="O9" s="238" t="str">
        <f>IF('INPUT DATA'!F29="","",'INPUT DATA'!F29)</f>
        <v>MEDICAL SCIENCE</v>
      </c>
      <c r="P9" s="231"/>
      <c r="Q9" s="231"/>
      <c r="R9" s="232"/>
      <c r="S9" s="2"/>
      <c r="T9" s="2"/>
      <c r="U9" s="2"/>
      <c r="V9" s="2"/>
      <c r="W9" s="2"/>
      <c r="X9" s="2"/>
      <c r="Y9" s="2"/>
      <c r="Z9" s="2"/>
      <c r="AA9" s="2"/>
      <c r="AB9" s="2"/>
      <c r="AC9" s="2"/>
    </row>
    <row r="10" spans="1:29" ht="15.75" customHeight="1">
      <c r="A10" s="2"/>
      <c r="B10" s="219"/>
      <c r="C10" s="153"/>
      <c r="D10" s="153"/>
      <c r="E10" s="220"/>
      <c r="F10" s="44" t="s">
        <v>27</v>
      </c>
      <c r="G10" s="239" t="str">
        <f>IF('INPUT DATA'!F28="","",'INPUT DATA'!F28)</f>
        <v>Academic</v>
      </c>
      <c r="H10" s="153"/>
      <c r="I10" s="153"/>
      <c r="J10" s="153"/>
      <c r="K10" s="220"/>
      <c r="L10" s="240" t="s">
        <v>24</v>
      </c>
      <c r="M10" s="217"/>
      <c r="N10" s="218"/>
      <c r="O10" s="241" t="str">
        <f>IF('INPUT DATA'!F26="","",'INPUT DATA'!F26)</f>
        <v>NIÑO M. LUNA</v>
      </c>
      <c r="P10" s="217"/>
      <c r="Q10" s="217"/>
      <c r="R10" s="218"/>
      <c r="S10" s="2"/>
      <c r="T10" s="2"/>
      <c r="U10" s="2"/>
      <c r="V10" s="2"/>
      <c r="W10" s="2"/>
      <c r="X10" s="2"/>
      <c r="Y10" s="2"/>
      <c r="Z10" s="2"/>
      <c r="AA10" s="2"/>
      <c r="AB10" s="2"/>
      <c r="AC10" s="2"/>
    </row>
    <row r="11" spans="1:29" ht="14.25" customHeight="1">
      <c r="A11" s="3"/>
      <c r="B11" s="268" t="s">
        <v>35</v>
      </c>
      <c r="C11" s="217"/>
      <c r="D11" s="217"/>
      <c r="E11" s="217"/>
      <c r="F11" s="269" t="s">
        <v>7</v>
      </c>
      <c r="G11" s="218"/>
      <c r="H11" s="249" t="s">
        <v>36</v>
      </c>
      <c r="I11" s="248" t="s">
        <v>37</v>
      </c>
      <c r="J11" s="249" t="s">
        <v>38</v>
      </c>
      <c r="K11" s="242" t="s">
        <v>39</v>
      </c>
      <c r="L11" s="231"/>
      <c r="M11" s="231"/>
      <c r="N11" s="231"/>
      <c r="O11" s="231"/>
      <c r="P11" s="231"/>
      <c r="Q11" s="231"/>
      <c r="R11" s="232"/>
      <c r="S11" s="40"/>
      <c r="T11" s="3"/>
      <c r="U11" s="3"/>
      <c r="V11" s="3"/>
      <c r="W11" s="3"/>
      <c r="X11" s="3"/>
      <c r="Y11" s="3"/>
      <c r="Z11" s="3"/>
      <c r="AA11" s="3"/>
      <c r="AB11" s="3"/>
      <c r="AC11" s="3"/>
    </row>
    <row r="12" spans="1:29" ht="24.75" customHeight="1">
      <c r="A12" s="3"/>
      <c r="B12" s="219"/>
      <c r="C12" s="153"/>
      <c r="D12" s="153"/>
      <c r="E12" s="153"/>
      <c r="F12" s="219"/>
      <c r="G12" s="220"/>
      <c r="H12" s="250"/>
      <c r="I12" s="220"/>
      <c r="J12" s="250"/>
      <c r="K12" s="243" t="s">
        <v>40</v>
      </c>
      <c r="L12" s="231"/>
      <c r="M12" s="231"/>
      <c r="N12" s="231"/>
      <c r="O12" s="231"/>
      <c r="P12" s="231"/>
      <c r="Q12" s="232"/>
      <c r="R12" s="45" t="s">
        <v>41</v>
      </c>
      <c r="S12" s="40"/>
      <c r="T12" s="3"/>
      <c r="U12" s="3"/>
      <c r="V12" s="3"/>
      <c r="W12" s="3"/>
      <c r="X12" s="3"/>
      <c r="Y12" s="3"/>
      <c r="Z12" s="3"/>
      <c r="AA12" s="3"/>
      <c r="AB12" s="3"/>
      <c r="AC12" s="3"/>
    </row>
    <row r="13" spans="1:29" ht="24.75" customHeight="1">
      <c r="A13" s="3"/>
      <c r="B13" s="219"/>
      <c r="C13" s="153"/>
      <c r="D13" s="153"/>
      <c r="E13" s="153"/>
      <c r="F13" s="219"/>
      <c r="G13" s="220"/>
      <c r="H13" s="250"/>
      <c r="I13" s="220"/>
      <c r="J13" s="250"/>
      <c r="K13" s="243" t="s">
        <v>42</v>
      </c>
      <c r="L13" s="231"/>
      <c r="M13" s="232"/>
      <c r="N13" s="252" t="s">
        <v>43</v>
      </c>
      <c r="O13" s="252" t="s">
        <v>44</v>
      </c>
      <c r="P13" s="252" t="s">
        <v>45</v>
      </c>
      <c r="Q13" s="253" t="s">
        <v>46</v>
      </c>
      <c r="R13" s="75" t="s">
        <v>47</v>
      </c>
      <c r="S13" s="40"/>
      <c r="T13" s="3"/>
      <c r="U13" s="3"/>
      <c r="V13" s="3"/>
      <c r="W13" s="3"/>
      <c r="X13" s="3"/>
      <c r="Y13" s="3"/>
      <c r="Z13" s="3"/>
      <c r="AA13" s="3"/>
      <c r="AB13" s="3"/>
      <c r="AC13" s="3"/>
    </row>
    <row r="14" spans="1:29" ht="24.75" customHeight="1">
      <c r="A14" s="3"/>
      <c r="B14" s="219"/>
      <c r="C14" s="153"/>
      <c r="D14" s="153"/>
      <c r="E14" s="153"/>
      <c r="F14" s="222"/>
      <c r="G14" s="224"/>
      <c r="H14" s="251"/>
      <c r="I14" s="224"/>
      <c r="J14" s="251"/>
      <c r="K14" s="46" t="s">
        <v>48</v>
      </c>
      <c r="L14" s="47" t="s">
        <v>49</v>
      </c>
      <c r="M14" s="47" t="s">
        <v>50</v>
      </c>
      <c r="N14" s="251"/>
      <c r="O14" s="251"/>
      <c r="P14" s="251"/>
      <c r="Q14" s="222"/>
      <c r="R14" s="141" t="s">
        <v>245</v>
      </c>
      <c r="S14" s="40"/>
      <c r="T14" s="3"/>
      <c r="U14" s="3"/>
      <c r="V14" s="3"/>
      <c r="W14" s="3"/>
      <c r="X14" s="3"/>
      <c r="Y14" s="3"/>
      <c r="Z14" s="3"/>
      <c r="AA14" s="3"/>
      <c r="AB14" s="3"/>
      <c r="AC14" s="3"/>
    </row>
    <row r="15" spans="1:29" ht="15.75" customHeight="1">
      <c r="A15" s="35"/>
      <c r="B15" s="244" t="s">
        <v>6</v>
      </c>
      <c r="C15" s="231"/>
      <c r="D15" s="231"/>
      <c r="E15" s="231"/>
      <c r="F15" s="231"/>
      <c r="G15" s="231"/>
      <c r="H15" s="231"/>
      <c r="I15" s="231"/>
      <c r="J15" s="231"/>
      <c r="K15" s="231"/>
      <c r="L15" s="231"/>
      <c r="M15" s="231"/>
      <c r="N15" s="231"/>
      <c r="O15" s="231"/>
      <c r="P15" s="231"/>
      <c r="Q15" s="231"/>
      <c r="R15" s="224"/>
      <c r="S15" s="35"/>
      <c r="T15" s="35"/>
      <c r="U15" s="35"/>
      <c r="V15" s="35"/>
      <c r="W15" s="35"/>
      <c r="X15" s="35"/>
      <c r="Y15" s="35"/>
      <c r="Z15" s="35"/>
      <c r="AA15" s="35"/>
      <c r="AB15" s="35"/>
      <c r="AC15" s="35"/>
    </row>
    <row r="16" spans="1:29" ht="15.75" customHeight="1">
      <c r="A16" s="35"/>
      <c r="B16" s="48">
        <v>1</v>
      </c>
      <c r="C16" s="245" t="str">
        <f>IF('INPUT DATA'!L11="","",'INPUT DATA'!L11)</f>
        <v>Alcaraz, Joshmond Cuntapay</v>
      </c>
      <c r="D16" s="168"/>
      <c r="E16" s="246"/>
      <c r="F16" s="247">
        <f>IF('INPUT DATA'!M11="","",'INPUT DATA'!M11)</f>
        <v>107743150040</v>
      </c>
      <c r="G16" s="246"/>
      <c r="H16" s="49">
        <f>IF('INPUT DATA'!N11="","",'INPUT DATA'!N11)</f>
        <v>40159</v>
      </c>
      <c r="I16" s="50">
        <f t="shared" ref="I16:I65" ca="1" si="0">IF(H16="","",DATEDIF(H16,TODAY(),"Y"))</f>
        <v>16</v>
      </c>
      <c r="J16" s="76" t="s">
        <v>51</v>
      </c>
      <c r="K16" s="51">
        <f t="shared" ref="K16:K39" si="1">IF(COUNT(L16:R16)=0,"",ROUND((L16+M16+N16+O16+P16+Q16+R16)/7,0))</f>
        <v>90</v>
      </c>
      <c r="L16" s="139">
        <v>91</v>
      </c>
      <c r="M16" s="139">
        <v>89</v>
      </c>
      <c r="N16" s="139">
        <v>89</v>
      </c>
      <c r="O16" s="139">
        <v>91</v>
      </c>
      <c r="P16" s="139">
        <v>92</v>
      </c>
      <c r="Q16" s="139">
        <v>89</v>
      </c>
      <c r="R16" s="139">
        <v>89</v>
      </c>
      <c r="S16" s="35"/>
      <c r="T16" s="35"/>
      <c r="U16" s="35"/>
      <c r="V16" s="35"/>
      <c r="W16" s="35"/>
      <c r="X16" s="35"/>
      <c r="Y16" s="35"/>
      <c r="Z16" s="35"/>
      <c r="AA16" s="35"/>
      <c r="AB16" s="35"/>
      <c r="AC16" s="35"/>
    </row>
    <row r="17" spans="1:29" ht="15.75" customHeight="1">
      <c r="A17" s="35"/>
      <c r="B17" s="52">
        <v>2</v>
      </c>
      <c r="C17" s="245" t="str">
        <f>IF('INPUT DATA'!L12="","",'INPUT DATA'!L12)</f>
        <v>Cabrera, Carl James Almendras</v>
      </c>
      <c r="D17" s="168"/>
      <c r="E17" s="246"/>
      <c r="F17" s="247">
        <f>IF('INPUT DATA'!M12="","",'INPUT DATA'!M12)</f>
        <v>107741150061</v>
      </c>
      <c r="G17" s="246"/>
      <c r="H17" s="53" t="str">
        <f>IF('INPUT DATA'!N12="","",'INPUT DATA'!N12)</f>
        <v>08/19/2010</v>
      </c>
      <c r="I17" s="54" t="e">
        <f t="shared" ca="1" si="0"/>
        <v>#VALUE!</v>
      </c>
      <c r="J17" s="77" t="s">
        <v>51</v>
      </c>
      <c r="K17" s="51">
        <f t="shared" si="1"/>
        <v>94</v>
      </c>
      <c r="L17" s="140">
        <v>94</v>
      </c>
      <c r="M17" s="140">
        <v>93</v>
      </c>
      <c r="N17" s="140">
        <v>93</v>
      </c>
      <c r="O17" s="140">
        <v>95</v>
      </c>
      <c r="P17" s="140">
        <v>95</v>
      </c>
      <c r="Q17" s="140">
        <v>95</v>
      </c>
      <c r="R17" s="140">
        <v>94</v>
      </c>
      <c r="S17" s="35"/>
      <c r="T17" s="35"/>
      <c r="U17" s="35"/>
      <c r="V17" s="35"/>
      <c r="W17" s="35"/>
      <c r="X17" s="35"/>
      <c r="Y17" s="35"/>
      <c r="Z17" s="35"/>
      <c r="AA17" s="35"/>
      <c r="AB17" s="35"/>
      <c r="AC17" s="35"/>
    </row>
    <row r="18" spans="1:29" ht="15.75" customHeight="1">
      <c r="A18" s="35"/>
      <c r="B18" s="52">
        <v>3</v>
      </c>
      <c r="C18" s="245" t="str">
        <f>IF('INPUT DATA'!L13="","",'INPUT DATA'!L13)</f>
        <v>Cacal, Sydney Padilla</v>
      </c>
      <c r="D18" s="168"/>
      <c r="E18" s="246"/>
      <c r="F18" s="247">
        <f>IF('INPUT DATA'!M13="","",'INPUT DATA'!M13)</f>
        <v>107736150048</v>
      </c>
      <c r="G18" s="246"/>
      <c r="H18" s="53" t="str">
        <f>IF('INPUT DATA'!N13="","",'INPUT DATA'!N13)</f>
        <v>2/25/2010</v>
      </c>
      <c r="I18" s="54">
        <v>16</v>
      </c>
      <c r="J18" s="77" t="s">
        <v>51</v>
      </c>
      <c r="K18" s="51">
        <f t="shared" si="1"/>
        <v>90</v>
      </c>
      <c r="L18" s="140">
        <v>88</v>
      </c>
      <c r="M18" s="140">
        <v>89</v>
      </c>
      <c r="N18" s="140">
        <v>90</v>
      </c>
      <c r="O18" s="140">
        <v>90</v>
      </c>
      <c r="P18" s="140">
        <v>91</v>
      </c>
      <c r="Q18" s="140">
        <v>90</v>
      </c>
      <c r="R18" s="140">
        <v>89</v>
      </c>
      <c r="S18" s="35"/>
      <c r="T18" s="35"/>
      <c r="U18" s="35"/>
      <c r="V18" s="35"/>
      <c r="W18" s="35"/>
      <c r="X18" s="35"/>
      <c r="Y18" s="35"/>
      <c r="Z18" s="35"/>
      <c r="AA18" s="35"/>
      <c r="AB18" s="35"/>
      <c r="AC18" s="35"/>
    </row>
    <row r="19" spans="1:29" ht="15.75" customHeight="1">
      <c r="A19" s="35"/>
      <c r="B19" s="52">
        <v>4</v>
      </c>
      <c r="C19" s="245" t="str">
        <f>IF('INPUT DATA'!L14="","",'INPUT DATA'!L14)</f>
        <v>Caringal, Raver</v>
      </c>
      <c r="D19" s="168"/>
      <c r="E19" s="246"/>
      <c r="F19" s="247">
        <f>IF('INPUT DATA'!M14="","",'INPUT DATA'!M14)</f>
        <v>107739150008</v>
      </c>
      <c r="G19" s="246"/>
      <c r="H19" s="53" t="str">
        <f>IF('INPUT DATA'!N14="","",'INPUT DATA'!N14)</f>
        <v>08/17/2010</v>
      </c>
      <c r="I19" s="54">
        <v>16</v>
      </c>
      <c r="J19" s="77" t="s">
        <v>51</v>
      </c>
      <c r="K19" s="51">
        <f t="shared" si="1"/>
        <v>91</v>
      </c>
      <c r="L19" s="140">
        <v>89</v>
      </c>
      <c r="M19" s="140">
        <v>90</v>
      </c>
      <c r="N19" s="140">
        <v>91</v>
      </c>
      <c r="O19" s="140">
        <v>90</v>
      </c>
      <c r="P19" s="140">
        <v>92</v>
      </c>
      <c r="Q19" s="140">
        <v>94</v>
      </c>
      <c r="R19" s="140">
        <v>88</v>
      </c>
      <c r="S19" s="35"/>
      <c r="T19" s="35"/>
      <c r="U19" s="35"/>
      <c r="V19" s="35"/>
      <c r="W19" s="35"/>
      <c r="X19" s="35"/>
      <c r="Y19" s="35"/>
      <c r="Z19" s="35"/>
      <c r="AA19" s="35"/>
      <c r="AB19" s="35"/>
      <c r="AC19" s="35"/>
    </row>
    <row r="20" spans="1:29" ht="15.75" customHeight="1">
      <c r="A20" s="35"/>
      <c r="B20" s="52">
        <v>5</v>
      </c>
      <c r="C20" s="245" t="str">
        <f>IF('INPUT DATA'!L15="","",'INPUT DATA'!L15)</f>
        <v>De Grano, Andrey Jose Cabrera</v>
      </c>
      <c r="D20" s="168"/>
      <c r="E20" s="246"/>
      <c r="F20" s="247">
        <f>IF('INPUT DATA'!M15="","",'INPUT DATA'!M15)</f>
        <v>402271150022</v>
      </c>
      <c r="G20" s="246"/>
      <c r="H20" s="53" t="str">
        <f>IF('INPUT DATA'!N15="","",'INPUT DATA'!N15)</f>
        <v>11/24/2008</v>
      </c>
      <c r="I20" s="54" t="e">
        <f t="shared" ca="1" si="0"/>
        <v>#VALUE!</v>
      </c>
      <c r="J20" s="78" t="s">
        <v>51</v>
      </c>
      <c r="K20" s="51">
        <f t="shared" si="1"/>
        <v>71</v>
      </c>
      <c r="L20" s="140"/>
      <c r="M20" s="140">
        <v>83</v>
      </c>
      <c r="N20" s="140">
        <v>81</v>
      </c>
      <c r="O20" s="140">
        <v>85</v>
      </c>
      <c r="P20" s="140">
        <v>80</v>
      </c>
      <c r="Q20" s="140">
        <v>86</v>
      </c>
      <c r="R20" s="140">
        <v>84</v>
      </c>
      <c r="S20" s="35"/>
      <c r="T20" s="35"/>
      <c r="U20" s="35"/>
      <c r="V20" s="35"/>
      <c r="W20" s="35"/>
      <c r="X20" s="35"/>
      <c r="Y20" s="35"/>
      <c r="Z20" s="35"/>
      <c r="AA20" s="35"/>
      <c r="AB20" s="35"/>
      <c r="AC20" s="35"/>
    </row>
    <row r="21" spans="1:29" ht="15.75" customHeight="1">
      <c r="A21" s="35"/>
      <c r="B21" s="52">
        <v>6</v>
      </c>
      <c r="C21" s="245" t="str">
        <f>IF('INPUT DATA'!L16="","",'INPUT DATA'!L16)</f>
        <v>De Leon, Jherico Enriquez</v>
      </c>
      <c r="D21" s="168"/>
      <c r="E21" s="246"/>
      <c r="F21" s="247">
        <f>IF('INPUT DATA'!M16="","",'INPUT DATA'!M16)</f>
        <v>107740150010</v>
      </c>
      <c r="G21" s="246"/>
      <c r="H21" s="53" t="str">
        <f>IF('INPUT DATA'!N16="","",'INPUT DATA'!N16)</f>
        <v>12/22/2009</v>
      </c>
      <c r="I21" s="54">
        <v>16</v>
      </c>
      <c r="J21" s="78" t="s">
        <v>51</v>
      </c>
      <c r="K21" s="51">
        <f t="shared" si="1"/>
        <v>91</v>
      </c>
      <c r="L21" s="140">
        <v>92</v>
      </c>
      <c r="M21" s="140">
        <v>92</v>
      </c>
      <c r="N21" s="140">
        <v>88</v>
      </c>
      <c r="O21" s="140">
        <v>90</v>
      </c>
      <c r="P21" s="140">
        <v>93</v>
      </c>
      <c r="Q21" s="140">
        <v>95</v>
      </c>
      <c r="R21" s="140">
        <v>87</v>
      </c>
      <c r="S21" s="35"/>
      <c r="T21" s="35"/>
      <c r="U21" s="35"/>
      <c r="V21" s="35"/>
      <c r="W21" s="35"/>
      <c r="X21" s="35"/>
      <c r="Y21" s="35"/>
      <c r="Z21" s="35"/>
      <c r="AA21" s="35"/>
      <c r="AB21" s="35"/>
      <c r="AC21" s="35"/>
    </row>
    <row r="22" spans="1:29" ht="15.75" customHeight="1">
      <c r="A22" s="35"/>
      <c r="B22" s="52">
        <v>7</v>
      </c>
      <c r="C22" s="245" t="str">
        <f>IF('INPUT DATA'!L17="","",'INPUT DATA'!L17)</f>
        <v>Dumalag, Matthew Oliver Caraan</v>
      </c>
      <c r="D22" s="168"/>
      <c r="E22" s="246"/>
      <c r="F22" s="247">
        <f>IF('INPUT DATA'!M17="","",'INPUT DATA'!M17)</f>
        <v>107743150044</v>
      </c>
      <c r="G22" s="246"/>
      <c r="H22" s="53">
        <f>IF('INPUT DATA'!N17="","",'INPUT DATA'!N17)</f>
        <v>40244</v>
      </c>
      <c r="I22" s="54">
        <v>16</v>
      </c>
      <c r="J22" s="78" t="s">
        <v>51</v>
      </c>
      <c r="K22" s="51">
        <f t="shared" si="1"/>
        <v>92</v>
      </c>
      <c r="L22" s="140">
        <v>93</v>
      </c>
      <c r="M22" s="140">
        <v>90</v>
      </c>
      <c r="N22" s="140">
        <v>96</v>
      </c>
      <c r="O22" s="140">
        <v>94</v>
      </c>
      <c r="P22" s="140">
        <v>92</v>
      </c>
      <c r="Q22" s="140">
        <v>90</v>
      </c>
      <c r="R22" s="140">
        <v>91</v>
      </c>
      <c r="S22" s="35"/>
      <c r="T22" s="35"/>
      <c r="U22" s="35"/>
      <c r="V22" s="35"/>
      <c r="W22" s="35"/>
      <c r="X22" s="35"/>
      <c r="Y22" s="35"/>
      <c r="Z22" s="35"/>
      <c r="AA22" s="35"/>
      <c r="AB22" s="35"/>
      <c r="AC22" s="35"/>
    </row>
    <row r="23" spans="1:29" ht="15.75" customHeight="1">
      <c r="A23" s="35"/>
      <c r="B23" s="52">
        <v>8</v>
      </c>
      <c r="C23" s="245" t="str">
        <f>IF('INPUT DATA'!L18="","",'INPUT DATA'!L18)</f>
        <v>Hernandez, Nathan Jericho Santos</v>
      </c>
      <c r="D23" s="168"/>
      <c r="E23" s="246"/>
      <c r="F23" s="247">
        <f>IF('INPUT DATA'!M18="","",'INPUT DATA'!M18)</f>
        <v>107736150060</v>
      </c>
      <c r="G23" s="246"/>
      <c r="H23" s="53">
        <f>IF('INPUT DATA'!N18="","",'INPUT DATA'!N18)</f>
        <v>40299</v>
      </c>
      <c r="I23" s="54">
        <f t="shared" ca="1" si="0"/>
        <v>16</v>
      </c>
      <c r="J23" s="78" t="s">
        <v>51</v>
      </c>
      <c r="K23" s="51">
        <f t="shared" si="1"/>
        <v>83</v>
      </c>
      <c r="L23" s="140">
        <v>87</v>
      </c>
      <c r="M23" s="140">
        <v>82</v>
      </c>
      <c r="N23" s="140">
        <v>82</v>
      </c>
      <c r="O23" s="140">
        <v>80</v>
      </c>
      <c r="P23" s="140">
        <v>87</v>
      </c>
      <c r="Q23" s="140">
        <v>84</v>
      </c>
      <c r="R23" s="140">
        <v>80</v>
      </c>
      <c r="S23" s="35"/>
      <c r="T23" s="35"/>
      <c r="U23" s="35"/>
      <c r="V23" s="35"/>
      <c r="W23" s="35"/>
      <c r="X23" s="35"/>
      <c r="Y23" s="35"/>
      <c r="Z23" s="35"/>
      <c r="AA23" s="35"/>
      <c r="AB23" s="35"/>
      <c r="AC23" s="35"/>
    </row>
    <row r="24" spans="1:29" ht="15.75" customHeight="1">
      <c r="A24" s="35"/>
      <c r="B24" s="52">
        <v>9</v>
      </c>
      <c r="C24" s="245" t="str">
        <f>IF('INPUT DATA'!L19="","",'INPUT DATA'!L19)</f>
        <v>Jumarang, Zaijan Charles Diola</v>
      </c>
      <c r="D24" s="168"/>
      <c r="E24" s="246"/>
      <c r="F24" s="247">
        <f>IF('INPUT DATA'!M19="","",'INPUT DATA'!M19)</f>
        <v>107737150036</v>
      </c>
      <c r="G24" s="246"/>
      <c r="H24" s="53" t="str">
        <f>IF('INPUT DATA'!N19="","",'INPUT DATA'!N19)</f>
        <v>03/14/2010</v>
      </c>
      <c r="I24" s="54">
        <v>16</v>
      </c>
      <c r="J24" s="78" t="s">
        <v>51</v>
      </c>
      <c r="K24" s="51">
        <f t="shared" si="1"/>
        <v>87</v>
      </c>
      <c r="L24" s="140">
        <v>87</v>
      </c>
      <c r="M24" s="140">
        <v>90</v>
      </c>
      <c r="N24" s="140">
        <v>85</v>
      </c>
      <c r="O24" s="140">
        <v>87</v>
      </c>
      <c r="P24" s="140">
        <v>88</v>
      </c>
      <c r="Q24" s="140">
        <v>85</v>
      </c>
      <c r="R24" s="140">
        <v>84</v>
      </c>
      <c r="S24" s="35"/>
      <c r="T24" s="35"/>
      <c r="U24" s="35"/>
      <c r="V24" s="35"/>
      <c r="W24" s="35"/>
      <c r="X24" s="35"/>
      <c r="Y24" s="35"/>
      <c r="Z24" s="35"/>
      <c r="AA24" s="35"/>
      <c r="AB24" s="35"/>
      <c r="AC24" s="35"/>
    </row>
    <row r="25" spans="1:29" ht="15.75" customHeight="1">
      <c r="A25" s="35"/>
      <c r="B25" s="52">
        <v>10</v>
      </c>
      <c r="C25" s="245" t="str">
        <f>IF('INPUT DATA'!L20="","",'INPUT DATA'!L20)</f>
        <v>Mendoza, Ken Cyrus Villanueva</v>
      </c>
      <c r="D25" s="168"/>
      <c r="E25" s="246"/>
      <c r="F25" s="247">
        <f>IF('INPUT DATA'!M20="","",'INPUT DATA'!M20)</f>
        <v>107742150006</v>
      </c>
      <c r="G25" s="246"/>
      <c r="H25" s="53" t="str">
        <f>IF('INPUT DATA'!N20="","",'INPUT DATA'!N20)</f>
        <v>02/17/2010</v>
      </c>
      <c r="I25" s="54">
        <v>16</v>
      </c>
      <c r="J25" s="78" t="s">
        <v>51</v>
      </c>
      <c r="K25" s="51">
        <f t="shared" si="1"/>
        <v>86</v>
      </c>
      <c r="L25" s="140">
        <v>87</v>
      </c>
      <c r="M25" s="140">
        <v>88</v>
      </c>
      <c r="N25" s="140">
        <v>83</v>
      </c>
      <c r="O25" s="140">
        <v>84</v>
      </c>
      <c r="P25" s="140">
        <v>93</v>
      </c>
      <c r="Q25" s="140">
        <v>85</v>
      </c>
      <c r="R25" s="140">
        <v>85</v>
      </c>
      <c r="S25" s="35"/>
      <c r="T25" s="35"/>
      <c r="U25" s="35"/>
      <c r="V25" s="35"/>
      <c r="W25" s="35"/>
      <c r="X25" s="35"/>
      <c r="Y25" s="35"/>
      <c r="Z25" s="35"/>
      <c r="AA25" s="35"/>
      <c r="AB25" s="35"/>
      <c r="AC25" s="35"/>
    </row>
    <row r="26" spans="1:29" ht="15.75" customHeight="1">
      <c r="A26" s="35"/>
      <c r="B26" s="52">
        <v>11</v>
      </c>
      <c r="C26" s="245" t="str">
        <f>IF('INPUT DATA'!L21="","",'INPUT DATA'!L21)</f>
        <v>Micua, Gerald De Leon</v>
      </c>
      <c r="D26" s="168"/>
      <c r="E26" s="246"/>
      <c r="F26" s="247">
        <f>IF('INPUT DATA'!M21="","",'INPUT DATA'!M21)</f>
        <v>107740150027</v>
      </c>
      <c r="G26" s="246"/>
      <c r="H26" s="53">
        <f>IF('INPUT DATA'!N21="","",'INPUT DATA'!N21)</f>
        <v>40334</v>
      </c>
      <c r="I26" s="54">
        <f t="shared" ca="1" si="0"/>
        <v>16</v>
      </c>
      <c r="J26" s="78" t="s">
        <v>51</v>
      </c>
      <c r="K26" s="51">
        <f t="shared" si="1"/>
        <v>86</v>
      </c>
      <c r="L26" s="140">
        <v>86</v>
      </c>
      <c r="M26" s="140">
        <v>86</v>
      </c>
      <c r="N26" s="140">
        <v>81</v>
      </c>
      <c r="O26" s="140">
        <v>90</v>
      </c>
      <c r="P26" s="140">
        <v>90</v>
      </c>
      <c r="Q26" s="140">
        <v>87</v>
      </c>
      <c r="R26" s="140">
        <v>84</v>
      </c>
      <c r="S26" s="35"/>
      <c r="T26" s="35"/>
      <c r="U26" s="35"/>
      <c r="V26" s="35"/>
      <c r="W26" s="35"/>
      <c r="X26" s="35"/>
      <c r="Y26" s="35"/>
      <c r="Z26" s="35"/>
      <c r="AA26" s="35"/>
      <c r="AB26" s="35"/>
      <c r="AC26" s="35"/>
    </row>
    <row r="27" spans="1:29" ht="15.75" customHeight="1">
      <c r="A27" s="35"/>
      <c r="B27" s="52">
        <v>12</v>
      </c>
      <c r="C27" s="245" t="str">
        <f>IF('INPUT DATA'!L22="","",'INPUT DATA'!L22)</f>
        <v>Pascua, Reinald Morta</v>
      </c>
      <c r="D27" s="168"/>
      <c r="E27" s="246"/>
      <c r="F27" s="247">
        <f>IF('INPUT DATA'!M22="","",'INPUT DATA'!M22)</f>
        <v>163506150011</v>
      </c>
      <c r="G27" s="246"/>
      <c r="H27" s="53">
        <f>IF('INPUT DATA'!N22="","",'INPUT DATA'!N22)</f>
        <v>40238</v>
      </c>
      <c r="I27" s="54">
        <f t="shared" ca="1" si="0"/>
        <v>16</v>
      </c>
      <c r="J27" s="78" t="s">
        <v>51</v>
      </c>
      <c r="K27" s="51">
        <f t="shared" si="1"/>
        <v>88</v>
      </c>
      <c r="L27" s="140">
        <v>87</v>
      </c>
      <c r="M27" s="140">
        <v>89</v>
      </c>
      <c r="N27" s="140">
        <v>86</v>
      </c>
      <c r="O27" s="140">
        <v>88</v>
      </c>
      <c r="P27" s="140">
        <v>91</v>
      </c>
      <c r="Q27" s="140">
        <v>89</v>
      </c>
      <c r="R27" s="140">
        <v>85</v>
      </c>
      <c r="S27" s="35"/>
      <c r="T27" s="35"/>
      <c r="U27" s="35"/>
      <c r="V27" s="35"/>
      <c r="W27" s="35"/>
      <c r="X27" s="35"/>
      <c r="Y27" s="35"/>
      <c r="Z27" s="35"/>
      <c r="AA27" s="35"/>
      <c r="AB27" s="35"/>
      <c r="AC27" s="35"/>
    </row>
    <row r="28" spans="1:29" ht="15.75" customHeight="1">
      <c r="A28" s="35"/>
      <c r="B28" s="52">
        <v>13</v>
      </c>
      <c r="C28" s="245" t="str">
        <f>IF('INPUT DATA'!L23="","",'INPUT DATA'!L23)</f>
        <v>Seña, John Joseph Nayangga</v>
      </c>
      <c r="D28" s="168"/>
      <c r="E28" s="246"/>
      <c r="F28" s="247">
        <f>IF('INPUT DATA'!M23="","",'INPUT DATA'!M23)</f>
        <v>136605150121</v>
      </c>
      <c r="G28" s="246"/>
      <c r="H28" s="53">
        <f>IF('INPUT DATA'!N23="","",'INPUT DATA'!N23)</f>
        <v>40519</v>
      </c>
      <c r="I28" s="54">
        <f t="shared" ca="1" si="0"/>
        <v>15</v>
      </c>
      <c r="J28" s="78" t="s">
        <v>51</v>
      </c>
      <c r="K28" s="51">
        <f t="shared" si="1"/>
        <v>91</v>
      </c>
      <c r="L28" s="140">
        <v>91</v>
      </c>
      <c r="M28" s="140">
        <v>90</v>
      </c>
      <c r="N28" s="140">
        <v>95</v>
      </c>
      <c r="O28" s="140">
        <v>92</v>
      </c>
      <c r="P28" s="140">
        <v>95</v>
      </c>
      <c r="Q28" s="140">
        <v>86</v>
      </c>
      <c r="R28" s="140">
        <v>89</v>
      </c>
      <c r="S28" s="35"/>
      <c r="T28" s="35"/>
      <c r="U28" s="35"/>
      <c r="V28" s="35"/>
      <c r="W28" s="35"/>
      <c r="X28" s="35"/>
      <c r="Y28" s="35"/>
      <c r="Z28" s="35"/>
      <c r="AA28" s="35"/>
      <c r="AB28" s="35"/>
      <c r="AC28" s="35"/>
    </row>
    <row r="29" spans="1:29" ht="15.75" customHeight="1">
      <c r="A29" s="35"/>
      <c r="B29" s="52">
        <v>14</v>
      </c>
      <c r="C29" s="245" t="str">
        <f>IF('INPUT DATA'!L24="","",'INPUT DATA'!L24)</f>
        <v>Velasco, Jake Nixon Lanzanas</v>
      </c>
      <c r="D29" s="168"/>
      <c r="E29" s="246"/>
      <c r="F29" s="247">
        <f>IF('INPUT DATA'!M24="","",'INPUT DATA'!M24)</f>
        <v>100380150020</v>
      </c>
      <c r="G29" s="246"/>
      <c r="H29" s="53">
        <f>IF('INPUT DATA'!N24="","",'INPUT DATA'!N24)</f>
        <v>40303</v>
      </c>
      <c r="I29" s="54">
        <f t="shared" ca="1" si="0"/>
        <v>16</v>
      </c>
      <c r="J29" s="78" t="s">
        <v>51</v>
      </c>
      <c r="K29" s="51">
        <f t="shared" si="1"/>
        <v>88</v>
      </c>
      <c r="L29" s="140">
        <v>88</v>
      </c>
      <c r="M29" s="140">
        <v>88</v>
      </c>
      <c r="N29" s="140">
        <v>86</v>
      </c>
      <c r="O29" s="140">
        <v>87</v>
      </c>
      <c r="P29" s="140">
        <v>90</v>
      </c>
      <c r="Q29" s="140">
        <v>90</v>
      </c>
      <c r="R29" s="140">
        <v>84</v>
      </c>
      <c r="S29" s="35"/>
      <c r="T29" s="35"/>
      <c r="U29" s="35"/>
      <c r="V29" s="35"/>
      <c r="W29" s="35"/>
      <c r="X29" s="35"/>
      <c r="Y29" s="35"/>
      <c r="Z29" s="35"/>
      <c r="AA29" s="35"/>
      <c r="AB29" s="35"/>
      <c r="AC29" s="35"/>
    </row>
    <row r="30" spans="1:29" ht="15.75" hidden="1" customHeight="1">
      <c r="A30" s="35"/>
      <c r="B30" s="52">
        <v>15</v>
      </c>
      <c r="C30" s="245" t="str">
        <f>IF('INPUT DATA'!L25="","",'INPUT DATA'!L25)</f>
        <v/>
      </c>
      <c r="D30" s="168"/>
      <c r="E30" s="246"/>
      <c r="F30" s="247" t="str">
        <f>IF('INPUT DATA'!M25="","",'INPUT DATA'!M25)</f>
        <v/>
      </c>
      <c r="G30" s="246"/>
      <c r="H30" s="53" t="str">
        <f>IF('INPUT DATA'!N25="","",'INPUT DATA'!N25)</f>
        <v/>
      </c>
      <c r="I30" s="54">
        <v>16</v>
      </c>
      <c r="J30" s="78" t="s">
        <v>51</v>
      </c>
      <c r="K30" s="51" t="str">
        <f t="shared" si="1"/>
        <v/>
      </c>
      <c r="L30" s="56"/>
      <c r="M30" s="56"/>
      <c r="N30" s="56"/>
      <c r="O30" s="56"/>
      <c r="P30" s="56"/>
      <c r="Q30" s="56"/>
      <c r="R30" s="56"/>
      <c r="S30" s="35"/>
      <c r="T30" s="35"/>
      <c r="U30" s="35"/>
      <c r="V30" s="35"/>
      <c r="W30" s="35"/>
      <c r="X30" s="35"/>
      <c r="Y30" s="35"/>
      <c r="Z30" s="35"/>
      <c r="AA30" s="35"/>
      <c r="AB30" s="35"/>
      <c r="AC30" s="35"/>
    </row>
    <row r="31" spans="1:29" ht="15.75" hidden="1" customHeight="1">
      <c r="A31" s="35"/>
      <c r="B31" s="52">
        <v>16</v>
      </c>
      <c r="C31" s="245" t="str">
        <f>IF('INPUT DATA'!L26="","",'INPUT DATA'!L26)</f>
        <v/>
      </c>
      <c r="D31" s="168"/>
      <c r="E31" s="246"/>
      <c r="F31" s="247" t="str">
        <f>IF('INPUT DATA'!M26="","",'INPUT DATA'!M26)</f>
        <v/>
      </c>
      <c r="G31" s="246"/>
      <c r="H31" s="53" t="str">
        <f>IF('INPUT DATA'!N26="","",'INPUT DATA'!N26)</f>
        <v/>
      </c>
      <c r="I31" s="54" t="str">
        <f t="shared" ca="1" si="0"/>
        <v/>
      </c>
      <c r="J31" s="78" t="s">
        <v>51</v>
      </c>
      <c r="K31" s="51" t="str">
        <f t="shared" si="1"/>
        <v/>
      </c>
      <c r="L31" s="56"/>
      <c r="M31" s="56"/>
      <c r="N31" s="56"/>
      <c r="O31" s="56"/>
      <c r="P31" s="56"/>
      <c r="Q31" s="56"/>
      <c r="R31" s="56"/>
      <c r="S31" s="35"/>
      <c r="T31" s="35"/>
      <c r="U31" s="35"/>
      <c r="V31" s="35"/>
      <c r="W31" s="35"/>
      <c r="X31" s="35"/>
      <c r="Y31" s="35"/>
      <c r="Z31" s="35"/>
      <c r="AA31" s="35"/>
      <c r="AB31" s="35"/>
      <c r="AC31" s="35"/>
    </row>
    <row r="32" spans="1:29" ht="15.75" hidden="1" customHeight="1">
      <c r="A32" s="35"/>
      <c r="B32" s="52">
        <v>17</v>
      </c>
      <c r="C32" s="245" t="str">
        <f>IF('INPUT DATA'!L27="","",'INPUT DATA'!L27)</f>
        <v/>
      </c>
      <c r="D32" s="168"/>
      <c r="E32" s="246"/>
      <c r="F32" s="247" t="str">
        <f>IF('INPUT DATA'!M27="","",'INPUT DATA'!M27)</f>
        <v/>
      </c>
      <c r="G32" s="246"/>
      <c r="H32" s="53" t="str">
        <f>IF('INPUT DATA'!N27="","",'INPUT DATA'!N27)</f>
        <v/>
      </c>
      <c r="I32" s="54" t="str">
        <f t="shared" ca="1" si="0"/>
        <v/>
      </c>
      <c r="J32" s="78" t="s">
        <v>51</v>
      </c>
      <c r="K32" s="51" t="str">
        <f t="shared" si="1"/>
        <v/>
      </c>
      <c r="L32" s="56"/>
      <c r="M32" s="56"/>
      <c r="N32" s="56"/>
      <c r="O32" s="56"/>
      <c r="P32" s="56"/>
      <c r="Q32" s="56"/>
      <c r="R32" s="56"/>
      <c r="S32" s="35"/>
      <c r="T32" s="35"/>
      <c r="U32" s="35"/>
      <c r="V32" s="35"/>
      <c r="W32" s="35"/>
      <c r="X32" s="35"/>
      <c r="Y32" s="35"/>
      <c r="Z32" s="35"/>
      <c r="AA32" s="35"/>
      <c r="AB32" s="35"/>
      <c r="AC32" s="35"/>
    </row>
    <row r="33" spans="1:29" ht="15.75" hidden="1" customHeight="1">
      <c r="A33" s="35"/>
      <c r="B33" s="52">
        <v>18</v>
      </c>
      <c r="C33" s="245" t="str">
        <f>IF('INPUT DATA'!L28="","",'INPUT DATA'!L28)</f>
        <v/>
      </c>
      <c r="D33" s="168"/>
      <c r="E33" s="246"/>
      <c r="F33" s="247" t="str">
        <f>IF('INPUT DATA'!M28="","",'INPUT DATA'!M28)</f>
        <v/>
      </c>
      <c r="G33" s="246"/>
      <c r="H33" s="53" t="str">
        <f>IF('INPUT DATA'!N28="","",'INPUT DATA'!N28)</f>
        <v/>
      </c>
      <c r="I33" s="54" t="str">
        <f t="shared" ca="1" si="0"/>
        <v/>
      </c>
      <c r="J33" s="78" t="s">
        <v>51</v>
      </c>
      <c r="K33" s="51" t="str">
        <f t="shared" si="1"/>
        <v/>
      </c>
      <c r="L33" s="56"/>
      <c r="M33" s="56"/>
      <c r="N33" s="56"/>
      <c r="O33" s="56"/>
      <c r="P33" s="56"/>
      <c r="Q33" s="56"/>
      <c r="R33" s="56"/>
      <c r="S33" s="35"/>
      <c r="T33" s="35"/>
      <c r="U33" s="35"/>
      <c r="V33" s="35"/>
      <c r="W33" s="35"/>
      <c r="X33" s="35"/>
      <c r="Y33" s="35"/>
      <c r="Z33" s="35"/>
      <c r="AA33" s="35"/>
      <c r="AB33" s="35"/>
      <c r="AC33" s="35"/>
    </row>
    <row r="34" spans="1:29" ht="15.75" hidden="1" customHeight="1">
      <c r="A34" s="35"/>
      <c r="B34" s="52">
        <v>19</v>
      </c>
      <c r="C34" s="245" t="str">
        <f>IF('INPUT DATA'!L29="","",'INPUT DATA'!L29)</f>
        <v/>
      </c>
      <c r="D34" s="168"/>
      <c r="E34" s="246"/>
      <c r="F34" s="247" t="str">
        <f>IF('INPUT DATA'!M29="","",'INPUT DATA'!M29)</f>
        <v/>
      </c>
      <c r="G34" s="246"/>
      <c r="H34" s="53" t="str">
        <f>IF('INPUT DATA'!N29="","",'INPUT DATA'!N29)</f>
        <v/>
      </c>
      <c r="I34" s="54" t="str">
        <f t="shared" ca="1" si="0"/>
        <v/>
      </c>
      <c r="J34" s="78" t="s">
        <v>51</v>
      </c>
      <c r="K34" s="51" t="str">
        <f t="shared" si="1"/>
        <v/>
      </c>
      <c r="L34" s="56"/>
      <c r="M34" s="56"/>
      <c r="N34" s="56"/>
      <c r="O34" s="56"/>
      <c r="P34" s="56"/>
      <c r="Q34" s="56"/>
      <c r="R34" s="56"/>
      <c r="S34" s="35"/>
      <c r="T34" s="35"/>
      <c r="U34" s="35"/>
      <c r="V34" s="35"/>
      <c r="W34" s="35"/>
      <c r="X34" s="35"/>
      <c r="Y34" s="35"/>
      <c r="Z34" s="35"/>
      <c r="AA34" s="35"/>
      <c r="AB34" s="35"/>
      <c r="AC34" s="35"/>
    </row>
    <row r="35" spans="1:29" ht="15.75" hidden="1" customHeight="1">
      <c r="A35" s="35"/>
      <c r="B35" s="57">
        <v>20</v>
      </c>
      <c r="C35" s="245" t="str">
        <f>IF('INPUT DATA'!L30="","",'INPUT DATA'!L30)</f>
        <v/>
      </c>
      <c r="D35" s="168"/>
      <c r="E35" s="246"/>
      <c r="F35" s="247" t="str">
        <f>IF('INPUT DATA'!M30="","",'INPUT DATA'!M30)</f>
        <v/>
      </c>
      <c r="G35" s="246"/>
      <c r="H35" s="53" t="str">
        <f>IF('INPUT DATA'!N30="","",'INPUT DATA'!N30)</f>
        <v/>
      </c>
      <c r="I35" s="54" t="str">
        <f t="shared" ca="1" si="0"/>
        <v/>
      </c>
      <c r="J35" s="78" t="s">
        <v>51</v>
      </c>
      <c r="K35" s="51" t="str">
        <f t="shared" si="1"/>
        <v/>
      </c>
      <c r="L35" s="59"/>
      <c r="M35" s="59"/>
      <c r="N35" s="56"/>
      <c r="O35" s="59"/>
      <c r="P35" s="59"/>
      <c r="Q35" s="59"/>
      <c r="R35" s="59"/>
      <c r="S35" s="35"/>
      <c r="T35" s="35"/>
      <c r="U35" s="35"/>
      <c r="V35" s="35"/>
      <c r="W35" s="35"/>
      <c r="X35" s="35"/>
      <c r="Y35" s="35"/>
      <c r="Z35" s="35"/>
      <c r="AA35" s="35"/>
      <c r="AB35" s="35"/>
      <c r="AC35" s="35"/>
    </row>
    <row r="36" spans="1:29" ht="15.75" hidden="1" customHeight="1">
      <c r="A36" s="35"/>
      <c r="B36" s="57">
        <v>21</v>
      </c>
      <c r="C36" s="245" t="str">
        <f>IF('INPUT DATA'!L31="","",'INPUT DATA'!L31)</f>
        <v/>
      </c>
      <c r="D36" s="168"/>
      <c r="E36" s="246"/>
      <c r="F36" s="247" t="str">
        <f>IF('INPUT DATA'!M31="","",'INPUT DATA'!M31)</f>
        <v/>
      </c>
      <c r="G36" s="246"/>
      <c r="H36" s="53" t="str">
        <f>IF('INPUT DATA'!N31="","",'INPUT DATA'!N31)</f>
        <v/>
      </c>
      <c r="I36" s="54" t="str">
        <f t="shared" ca="1" si="0"/>
        <v/>
      </c>
      <c r="J36" s="78" t="s">
        <v>51</v>
      </c>
      <c r="K36" s="51" t="str">
        <f t="shared" si="1"/>
        <v/>
      </c>
      <c r="L36" s="56"/>
      <c r="M36" s="56"/>
      <c r="N36" s="59"/>
      <c r="O36" s="56"/>
      <c r="P36" s="56"/>
      <c r="Q36" s="56"/>
      <c r="R36" s="56"/>
      <c r="S36" s="35"/>
      <c r="T36" s="35"/>
      <c r="U36" s="35"/>
      <c r="V36" s="35"/>
      <c r="W36" s="35"/>
      <c r="X36" s="35"/>
      <c r="Y36" s="35"/>
      <c r="Z36" s="35"/>
      <c r="AA36" s="35"/>
      <c r="AB36" s="35"/>
      <c r="AC36" s="35"/>
    </row>
    <row r="37" spans="1:29" ht="15.75" hidden="1" customHeight="1">
      <c r="A37" s="35"/>
      <c r="B37" s="57">
        <v>22</v>
      </c>
      <c r="C37" s="245" t="str">
        <f>IF('INPUT DATA'!L32="","",'INPUT DATA'!L32)</f>
        <v/>
      </c>
      <c r="D37" s="168"/>
      <c r="E37" s="246"/>
      <c r="F37" s="247" t="str">
        <f>IF('INPUT DATA'!M32="","",'INPUT DATA'!M32)</f>
        <v/>
      </c>
      <c r="G37" s="246"/>
      <c r="H37" s="53" t="str">
        <f>IF('INPUT DATA'!N32="","",'INPUT DATA'!N32)</f>
        <v/>
      </c>
      <c r="I37" s="54" t="str">
        <f t="shared" ca="1" si="0"/>
        <v/>
      </c>
      <c r="J37" s="78" t="s">
        <v>51</v>
      </c>
      <c r="K37" s="51" t="str">
        <f t="shared" si="1"/>
        <v/>
      </c>
      <c r="L37" s="56"/>
      <c r="M37" s="56"/>
      <c r="N37" s="56"/>
      <c r="O37" s="56"/>
      <c r="P37" s="56"/>
      <c r="Q37" s="56"/>
      <c r="R37" s="56"/>
      <c r="S37" s="35"/>
      <c r="T37" s="35"/>
      <c r="U37" s="35"/>
      <c r="V37" s="35"/>
      <c r="W37" s="35"/>
      <c r="X37" s="35"/>
      <c r="Y37" s="35"/>
      <c r="Z37" s="35"/>
      <c r="AA37" s="35"/>
      <c r="AB37" s="35"/>
      <c r="AC37" s="35"/>
    </row>
    <row r="38" spans="1:29" ht="15.75" hidden="1" customHeight="1">
      <c r="A38" s="35"/>
      <c r="B38" s="57">
        <v>23</v>
      </c>
      <c r="C38" s="245" t="str">
        <f>IF('INPUT DATA'!L33="","",'INPUT DATA'!L33)</f>
        <v/>
      </c>
      <c r="D38" s="168"/>
      <c r="E38" s="246"/>
      <c r="F38" s="247" t="str">
        <f>IF('INPUT DATA'!M33="","",'INPUT DATA'!M33)</f>
        <v/>
      </c>
      <c r="G38" s="246"/>
      <c r="H38" s="53" t="str">
        <f>IF('INPUT DATA'!N33="","",'INPUT DATA'!N33)</f>
        <v/>
      </c>
      <c r="I38" s="54" t="str">
        <f t="shared" ca="1" si="0"/>
        <v/>
      </c>
      <c r="J38" s="78" t="s">
        <v>51</v>
      </c>
      <c r="K38" s="51" t="str">
        <f t="shared" si="1"/>
        <v/>
      </c>
      <c r="L38" s="56"/>
      <c r="M38" s="56"/>
      <c r="N38" s="56"/>
      <c r="O38" s="56"/>
      <c r="P38" s="56"/>
      <c r="Q38" s="56"/>
      <c r="R38" s="56"/>
      <c r="S38" s="35"/>
      <c r="T38" s="35"/>
      <c r="U38" s="35"/>
      <c r="V38" s="35"/>
      <c r="W38" s="35"/>
      <c r="X38" s="35"/>
      <c r="Y38" s="35"/>
      <c r="Z38" s="35"/>
      <c r="AA38" s="35"/>
      <c r="AB38" s="35"/>
      <c r="AC38" s="35"/>
    </row>
    <row r="39" spans="1:29" ht="15.75" hidden="1" customHeight="1">
      <c r="A39" s="35"/>
      <c r="B39" s="57">
        <v>24</v>
      </c>
      <c r="C39" s="245" t="str">
        <f>IF('INPUT DATA'!L34="","",'INPUT DATA'!L34)</f>
        <v/>
      </c>
      <c r="D39" s="168"/>
      <c r="E39" s="246"/>
      <c r="F39" s="247" t="str">
        <f>IF('INPUT DATA'!M34="","",'INPUT DATA'!M34)</f>
        <v/>
      </c>
      <c r="G39" s="246"/>
      <c r="H39" s="53" t="str">
        <f>IF('INPUT DATA'!N34="","",'INPUT DATA'!N34)</f>
        <v/>
      </c>
      <c r="I39" s="54"/>
      <c r="J39" s="78" t="s">
        <v>51</v>
      </c>
      <c r="K39" s="51" t="str">
        <f t="shared" si="1"/>
        <v/>
      </c>
      <c r="L39" s="56"/>
      <c r="M39" s="56"/>
      <c r="N39" s="56"/>
      <c r="O39" s="56"/>
      <c r="P39" s="56"/>
      <c r="Q39" s="56"/>
      <c r="R39" s="56"/>
      <c r="S39" s="35"/>
      <c r="T39" s="35"/>
      <c r="U39" s="35"/>
      <c r="V39" s="35"/>
      <c r="W39" s="35"/>
      <c r="X39" s="35"/>
      <c r="Y39" s="35"/>
      <c r="Z39" s="35"/>
      <c r="AA39" s="35"/>
      <c r="AB39" s="35"/>
      <c r="AC39" s="35"/>
    </row>
    <row r="40" spans="1:29" ht="15.75" hidden="1" customHeight="1">
      <c r="A40" s="35"/>
      <c r="B40" s="57">
        <v>25</v>
      </c>
      <c r="C40" s="245" t="str">
        <f>IF('INPUT DATA'!L35="","",'INPUT DATA'!L35)</f>
        <v/>
      </c>
      <c r="D40" s="168"/>
      <c r="E40" s="246"/>
      <c r="F40" s="247" t="str">
        <f>IF('INPUT DATA'!M35="","",'INPUT DATA'!M35)</f>
        <v/>
      </c>
      <c r="G40" s="246"/>
      <c r="H40" s="53" t="str">
        <f>IF('INPUT DATA'!N35="","",'INPUT DATA'!N35)</f>
        <v/>
      </c>
      <c r="I40" s="54" t="str">
        <f t="shared" ca="1" si="0"/>
        <v/>
      </c>
      <c r="J40" s="77"/>
      <c r="K40" s="55"/>
      <c r="L40" s="56"/>
      <c r="M40" s="56"/>
      <c r="N40" s="56"/>
      <c r="O40" s="56"/>
      <c r="P40" s="56"/>
      <c r="Q40" s="56"/>
      <c r="R40" s="56"/>
      <c r="S40" s="35"/>
      <c r="T40" s="35"/>
      <c r="U40" s="35"/>
      <c r="V40" s="35"/>
      <c r="W40" s="35"/>
      <c r="X40" s="35"/>
      <c r="Y40" s="35"/>
      <c r="Z40" s="35"/>
      <c r="AA40" s="35"/>
      <c r="AB40" s="35"/>
      <c r="AC40" s="35"/>
    </row>
    <row r="41" spans="1:29" ht="15.75" hidden="1" customHeight="1">
      <c r="A41" s="35"/>
      <c r="B41" s="57">
        <v>26</v>
      </c>
      <c r="C41" s="245" t="str">
        <f>IF('INPUT DATA'!L36="","",'INPUT DATA'!L36)</f>
        <v/>
      </c>
      <c r="D41" s="168"/>
      <c r="E41" s="246"/>
      <c r="F41" s="247" t="str">
        <f>IF('INPUT DATA'!M36="","",'INPUT DATA'!M36)</f>
        <v/>
      </c>
      <c r="G41" s="246"/>
      <c r="H41" s="53" t="str">
        <f>IF('INPUT DATA'!N36="","",'INPUT DATA'!N36)</f>
        <v/>
      </c>
      <c r="I41" s="54" t="str">
        <f t="shared" ca="1" si="0"/>
        <v/>
      </c>
      <c r="J41" s="77"/>
      <c r="K41" s="55"/>
      <c r="L41" s="56"/>
      <c r="M41" s="56"/>
      <c r="N41" s="56"/>
      <c r="O41" s="56"/>
      <c r="P41" s="56"/>
      <c r="Q41" s="56"/>
      <c r="R41" s="56"/>
      <c r="S41" s="35"/>
      <c r="T41" s="35"/>
      <c r="U41" s="35"/>
      <c r="V41" s="35"/>
      <c r="W41" s="35"/>
      <c r="X41" s="35"/>
      <c r="Y41" s="35"/>
      <c r="Z41" s="35"/>
      <c r="AA41" s="35"/>
      <c r="AB41" s="35"/>
      <c r="AC41" s="35"/>
    </row>
    <row r="42" spans="1:29" ht="15.75" hidden="1" customHeight="1">
      <c r="A42" s="35"/>
      <c r="B42" s="57">
        <v>27</v>
      </c>
      <c r="C42" s="245" t="str">
        <f>IF('INPUT DATA'!L37="","",'INPUT DATA'!L37)</f>
        <v/>
      </c>
      <c r="D42" s="168"/>
      <c r="E42" s="246"/>
      <c r="F42" s="247" t="str">
        <f>IF('INPUT DATA'!M37="","",'INPUT DATA'!M37)</f>
        <v/>
      </c>
      <c r="G42" s="246"/>
      <c r="H42" s="53" t="str">
        <f>IF('INPUT DATA'!N37="","",'INPUT DATA'!N37)</f>
        <v/>
      </c>
      <c r="I42" s="54" t="str">
        <f t="shared" ca="1" si="0"/>
        <v/>
      </c>
      <c r="J42" s="77"/>
      <c r="K42" s="55"/>
      <c r="L42" s="56"/>
      <c r="M42" s="56"/>
      <c r="N42" s="56"/>
      <c r="O42" s="56"/>
      <c r="P42" s="56"/>
      <c r="Q42" s="56"/>
      <c r="R42" s="56"/>
      <c r="S42" s="35"/>
      <c r="T42" s="35"/>
      <c r="U42" s="35"/>
      <c r="V42" s="35"/>
      <c r="W42" s="35"/>
      <c r="X42" s="35"/>
      <c r="Y42" s="35"/>
      <c r="Z42" s="35"/>
      <c r="AA42" s="35"/>
      <c r="AB42" s="35"/>
      <c r="AC42" s="35"/>
    </row>
    <row r="43" spans="1:29" ht="15.75" hidden="1" customHeight="1">
      <c r="A43" s="35"/>
      <c r="B43" s="57">
        <v>28</v>
      </c>
      <c r="C43" s="245" t="str">
        <f>IF('INPUT DATA'!L38="","",'INPUT DATA'!L38)</f>
        <v/>
      </c>
      <c r="D43" s="168"/>
      <c r="E43" s="246"/>
      <c r="F43" s="247" t="str">
        <f>IF('INPUT DATA'!M38="","",'INPUT DATA'!M38)</f>
        <v/>
      </c>
      <c r="G43" s="246"/>
      <c r="H43" s="53" t="str">
        <f>IF('INPUT DATA'!N38="","",'INPUT DATA'!N38)</f>
        <v/>
      </c>
      <c r="I43" s="54" t="str">
        <f t="shared" ca="1" si="0"/>
        <v/>
      </c>
      <c r="J43" s="77"/>
      <c r="K43" s="55"/>
      <c r="L43" s="56"/>
      <c r="M43" s="56"/>
      <c r="N43" s="56"/>
      <c r="O43" s="56"/>
      <c r="P43" s="56"/>
      <c r="Q43" s="56"/>
      <c r="R43" s="56"/>
      <c r="S43" s="35"/>
      <c r="T43" s="35"/>
      <c r="U43" s="35"/>
      <c r="V43" s="35"/>
      <c r="W43" s="35"/>
      <c r="X43" s="35"/>
      <c r="Y43" s="35"/>
      <c r="Z43" s="35"/>
      <c r="AA43" s="35"/>
      <c r="AB43" s="35"/>
      <c r="AC43" s="35"/>
    </row>
    <row r="44" spans="1:29" ht="15.75" hidden="1" customHeight="1">
      <c r="A44" s="35"/>
      <c r="B44" s="57">
        <v>29</v>
      </c>
      <c r="C44" s="245" t="str">
        <f>IF('INPUT DATA'!L39="","",'INPUT DATA'!L39)</f>
        <v/>
      </c>
      <c r="D44" s="168"/>
      <c r="E44" s="246"/>
      <c r="F44" s="247" t="str">
        <f>IF('INPUT DATA'!M39="","",'INPUT DATA'!M39)</f>
        <v/>
      </c>
      <c r="G44" s="246"/>
      <c r="H44" s="53" t="str">
        <f>IF('INPUT DATA'!N39="","",'INPUT DATA'!N39)</f>
        <v/>
      </c>
      <c r="I44" s="54" t="str">
        <f t="shared" ca="1" si="0"/>
        <v/>
      </c>
      <c r="J44" s="77"/>
      <c r="K44" s="55"/>
      <c r="L44" s="56"/>
      <c r="M44" s="56"/>
      <c r="N44" s="56"/>
      <c r="O44" s="56"/>
      <c r="P44" s="56"/>
      <c r="Q44" s="56"/>
      <c r="R44" s="56"/>
      <c r="S44" s="35"/>
      <c r="T44" s="35"/>
      <c r="U44" s="35"/>
      <c r="V44" s="35"/>
      <c r="W44" s="35"/>
      <c r="X44" s="35"/>
      <c r="Y44" s="35"/>
      <c r="Z44" s="35"/>
      <c r="AA44" s="35"/>
      <c r="AB44" s="35"/>
      <c r="AC44" s="35"/>
    </row>
    <row r="45" spans="1:29" ht="15.75" hidden="1" customHeight="1">
      <c r="A45" s="35"/>
      <c r="B45" s="57">
        <v>30</v>
      </c>
      <c r="C45" s="245" t="str">
        <f>IF('INPUT DATA'!L40="","",'INPUT DATA'!L40)</f>
        <v/>
      </c>
      <c r="D45" s="168"/>
      <c r="E45" s="246"/>
      <c r="F45" s="247" t="str">
        <f>IF('INPUT DATA'!M40="","",'INPUT DATA'!M40)</f>
        <v/>
      </c>
      <c r="G45" s="246"/>
      <c r="H45" s="53" t="str">
        <f>IF('INPUT DATA'!N40="","",'INPUT DATA'!N40)</f>
        <v/>
      </c>
      <c r="I45" s="54" t="str">
        <f t="shared" ca="1" si="0"/>
        <v/>
      </c>
      <c r="J45" s="77"/>
      <c r="K45" s="55"/>
      <c r="L45" s="56"/>
      <c r="M45" s="56"/>
      <c r="N45" s="56"/>
      <c r="O45" s="56"/>
      <c r="P45" s="56"/>
      <c r="Q45" s="56"/>
      <c r="R45" s="56"/>
      <c r="S45" s="35"/>
      <c r="T45" s="35"/>
      <c r="U45" s="35"/>
      <c r="V45" s="35"/>
      <c r="W45" s="35"/>
      <c r="X45" s="35"/>
      <c r="Y45" s="35"/>
      <c r="Z45" s="35"/>
      <c r="AA45" s="35"/>
      <c r="AB45" s="35"/>
      <c r="AC45" s="35"/>
    </row>
    <row r="46" spans="1:29" ht="15.75" hidden="1" customHeight="1">
      <c r="A46" s="35"/>
      <c r="B46" s="57">
        <v>31</v>
      </c>
      <c r="C46" s="245" t="str">
        <f>IF('INPUT DATA'!L41="","",'INPUT DATA'!L41)</f>
        <v/>
      </c>
      <c r="D46" s="168"/>
      <c r="E46" s="246"/>
      <c r="F46" s="247" t="str">
        <f>IF('INPUT DATA'!M41="","",'INPUT DATA'!M41)</f>
        <v/>
      </c>
      <c r="G46" s="246"/>
      <c r="H46" s="53" t="str">
        <f>IF('INPUT DATA'!N41="","",'INPUT DATA'!N41)</f>
        <v/>
      </c>
      <c r="I46" s="54" t="str">
        <f t="shared" ca="1" si="0"/>
        <v/>
      </c>
      <c r="J46" s="77"/>
      <c r="K46" s="55"/>
      <c r="L46" s="56"/>
      <c r="M46" s="56"/>
      <c r="N46" s="56"/>
      <c r="O46" s="56"/>
      <c r="P46" s="56"/>
      <c r="Q46" s="56"/>
      <c r="R46" s="56"/>
      <c r="S46" s="35"/>
      <c r="T46" s="35"/>
      <c r="U46" s="35"/>
      <c r="V46" s="35"/>
      <c r="W46" s="35"/>
      <c r="X46" s="35"/>
      <c r="Y46" s="35"/>
      <c r="Z46" s="35"/>
      <c r="AA46" s="35"/>
      <c r="AB46" s="35"/>
      <c r="AC46" s="35"/>
    </row>
    <row r="47" spans="1:29" ht="15.75" hidden="1" customHeight="1">
      <c r="A47" s="35"/>
      <c r="B47" s="57">
        <v>32</v>
      </c>
      <c r="C47" s="245" t="str">
        <f>IF('INPUT DATA'!L42="","",'INPUT DATA'!L42)</f>
        <v/>
      </c>
      <c r="D47" s="168"/>
      <c r="E47" s="246"/>
      <c r="F47" s="247" t="str">
        <f>IF('INPUT DATA'!M42="","",'INPUT DATA'!M42)</f>
        <v/>
      </c>
      <c r="G47" s="246"/>
      <c r="H47" s="53" t="str">
        <f>IF('INPUT DATA'!N42="","",'INPUT DATA'!N42)</f>
        <v/>
      </c>
      <c r="I47" s="54" t="str">
        <f t="shared" ca="1" si="0"/>
        <v/>
      </c>
      <c r="J47" s="77"/>
      <c r="K47" s="55"/>
      <c r="L47" s="56"/>
      <c r="M47" s="56"/>
      <c r="N47" s="56"/>
      <c r="O47" s="56"/>
      <c r="P47" s="56"/>
      <c r="Q47" s="56"/>
      <c r="R47" s="56"/>
      <c r="S47" s="35"/>
      <c r="T47" s="35"/>
      <c r="U47" s="35"/>
      <c r="V47" s="35"/>
      <c r="W47" s="35"/>
      <c r="X47" s="35"/>
      <c r="Y47" s="35"/>
      <c r="Z47" s="35"/>
      <c r="AA47" s="35"/>
      <c r="AB47" s="35"/>
      <c r="AC47" s="35"/>
    </row>
    <row r="48" spans="1:29" ht="15.75" hidden="1" customHeight="1">
      <c r="A48" s="35"/>
      <c r="B48" s="57">
        <v>33</v>
      </c>
      <c r="C48" s="245" t="str">
        <f>IF('INPUT DATA'!L43="","",'INPUT DATA'!L43)</f>
        <v/>
      </c>
      <c r="D48" s="168"/>
      <c r="E48" s="246"/>
      <c r="F48" s="247" t="str">
        <f>IF('INPUT DATA'!M43="","",'INPUT DATA'!M43)</f>
        <v/>
      </c>
      <c r="G48" s="246"/>
      <c r="H48" s="53" t="str">
        <f>IF('INPUT DATA'!N43="","",'INPUT DATA'!N43)</f>
        <v/>
      </c>
      <c r="I48" s="54" t="str">
        <f t="shared" ca="1" si="0"/>
        <v/>
      </c>
      <c r="J48" s="77"/>
      <c r="K48" s="55"/>
      <c r="L48" s="56"/>
      <c r="M48" s="56"/>
      <c r="N48" s="56"/>
      <c r="O48" s="56"/>
      <c r="P48" s="56"/>
      <c r="Q48" s="56"/>
      <c r="R48" s="56"/>
      <c r="S48" s="35"/>
      <c r="T48" s="35"/>
      <c r="U48" s="35"/>
      <c r="V48" s="35"/>
      <c r="W48" s="35"/>
      <c r="X48" s="35"/>
      <c r="Y48" s="35"/>
      <c r="Z48" s="35"/>
      <c r="AA48" s="35"/>
      <c r="AB48" s="35"/>
      <c r="AC48" s="35"/>
    </row>
    <row r="49" spans="1:29" ht="15.75" hidden="1" customHeight="1">
      <c r="A49" s="35"/>
      <c r="B49" s="57">
        <v>34</v>
      </c>
      <c r="C49" s="245" t="str">
        <f>IF('INPUT DATA'!L44="","",'INPUT DATA'!L44)</f>
        <v/>
      </c>
      <c r="D49" s="168"/>
      <c r="E49" s="246"/>
      <c r="F49" s="247" t="str">
        <f>IF('INPUT DATA'!M44="","",'INPUT DATA'!M44)</f>
        <v/>
      </c>
      <c r="G49" s="246"/>
      <c r="H49" s="53" t="str">
        <f>IF('INPUT DATA'!N44="","",'INPUT DATA'!N44)</f>
        <v/>
      </c>
      <c r="I49" s="54" t="str">
        <f t="shared" ca="1" si="0"/>
        <v/>
      </c>
      <c r="J49" s="77"/>
      <c r="K49" s="55"/>
      <c r="L49" s="56"/>
      <c r="M49" s="56"/>
      <c r="N49" s="56"/>
      <c r="O49" s="56"/>
      <c r="P49" s="56"/>
      <c r="Q49" s="56"/>
      <c r="R49" s="56"/>
      <c r="S49" s="35"/>
      <c r="T49" s="35"/>
      <c r="U49" s="35"/>
      <c r="V49" s="35"/>
      <c r="W49" s="35"/>
      <c r="X49" s="35"/>
      <c r="Y49" s="35"/>
      <c r="Z49" s="35"/>
      <c r="AA49" s="35"/>
      <c r="AB49" s="35"/>
      <c r="AC49" s="35"/>
    </row>
    <row r="50" spans="1:29" ht="15.75" hidden="1" customHeight="1">
      <c r="A50" s="35"/>
      <c r="B50" s="57">
        <v>35</v>
      </c>
      <c r="C50" s="245" t="str">
        <f>IF('INPUT DATA'!L45="","",'INPUT DATA'!L45)</f>
        <v/>
      </c>
      <c r="D50" s="168"/>
      <c r="E50" s="246"/>
      <c r="F50" s="247" t="str">
        <f>IF('INPUT DATA'!M45="","",'INPUT DATA'!M45)</f>
        <v/>
      </c>
      <c r="G50" s="246"/>
      <c r="H50" s="53" t="str">
        <f>IF('INPUT DATA'!N45="","",'INPUT DATA'!N45)</f>
        <v/>
      </c>
      <c r="I50" s="54" t="str">
        <f t="shared" ca="1" si="0"/>
        <v/>
      </c>
      <c r="J50" s="77"/>
      <c r="K50" s="55"/>
      <c r="L50" s="56"/>
      <c r="M50" s="56"/>
      <c r="N50" s="56"/>
      <c r="O50" s="56"/>
      <c r="P50" s="56"/>
      <c r="Q50" s="56"/>
      <c r="R50" s="56"/>
      <c r="S50" s="35"/>
      <c r="T50" s="35"/>
      <c r="U50" s="35"/>
      <c r="V50" s="35"/>
      <c r="W50" s="35"/>
      <c r="X50" s="35"/>
      <c r="Y50" s="35"/>
      <c r="Z50" s="35"/>
      <c r="AA50" s="35"/>
      <c r="AB50" s="35"/>
      <c r="AC50" s="35"/>
    </row>
    <row r="51" spans="1:29" ht="15.75" hidden="1" customHeight="1">
      <c r="A51" s="35"/>
      <c r="B51" s="57">
        <v>36</v>
      </c>
      <c r="C51" s="245" t="str">
        <f>IF('INPUT DATA'!L46="","",'INPUT DATA'!L46)</f>
        <v/>
      </c>
      <c r="D51" s="168"/>
      <c r="E51" s="246"/>
      <c r="F51" s="247" t="str">
        <f>IF('INPUT DATA'!M46="","",'INPUT DATA'!M46)</f>
        <v/>
      </c>
      <c r="G51" s="246"/>
      <c r="H51" s="53" t="str">
        <f>IF('INPUT DATA'!N46="","",'INPUT DATA'!N46)</f>
        <v/>
      </c>
      <c r="I51" s="54" t="str">
        <f t="shared" ca="1" si="0"/>
        <v/>
      </c>
      <c r="J51" s="77"/>
      <c r="K51" s="55"/>
      <c r="L51" s="56"/>
      <c r="M51" s="56"/>
      <c r="N51" s="56"/>
      <c r="O51" s="56"/>
      <c r="P51" s="56"/>
      <c r="Q51" s="56"/>
      <c r="R51" s="56"/>
      <c r="S51" s="35"/>
      <c r="T51" s="35"/>
      <c r="U51" s="35"/>
      <c r="V51" s="35"/>
      <c r="W51" s="35"/>
      <c r="X51" s="35"/>
      <c r="Y51" s="35"/>
      <c r="Z51" s="35"/>
      <c r="AA51" s="35"/>
      <c r="AB51" s="35"/>
      <c r="AC51" s="35"/>
    </row>
    <row r="52" spans="1:29" ht="15.75" hidden="1" customHeight="1">
      <c r="A52" s="35"/>
      <c r="B52" s="57">
        <v>37</v>
      </c>
      <c r="C52" s="245" t="str">
        <f>IF('INPUT DATA'!L47="","",'INPUT DATA'!L47)</f>
        <v/>
      </c>
      <c r="D52" s="168"/>
      <c r="E52" s="246"/>
      <c r="F52" s="247" t="str">
        <f>IF('INPUT DATA'!M47="","",'INPUT DATA'!M47)</f>
        <v/>
      </c>
      <c r="G52" s="246"/>
      <c r="H52" s="53" t="str">
        <f>IF('INPUT DATA'!N47="","",'INPUT DATA'!N47)</f>
        <v/>
      </c>
      <c r="I52" s="54" t="str">
        <f t="shared" ca="1" si="0"/>
        <v/>
      </c>
      <c r="J52" s="77"/>
      <c r="K52" s="55"/>
      <c r="L52" s="56"/>
      <c r="M52" s="56"/>
      <c r="N52" s="56"/>
      <c r="O52" s="56"/>
      <c r="P52" s="56"/>
      <c r="Q52" s="56"/>
      <c r="R52" s="56"/>
      <c r="S52" s="35"/>
      <c r="T52" s="35"/>
      <c r="U52" s="35"/>
      <c r="V52" s="35"/>
      <c r="W52" s="35"/>
      <c r="X52" s="35"/>
      <c r="Y52" s="35"/>
      <c r="Z52" s="35"/>
      <c r="AA52" s="35"/>
      <c r="AB52" s="35"/>
      <c r="AC52" s="35"/>
    </row>
    <row r="53" spans="1:29" ht="15.75" hidden="1" customHeight="1">
      <c r="A53" s="35"/>
      <c r="B53" s="57">
        <v>38</v>
      </c>
      <c r="C53" s="245" t="str">
        <f>IF('INPUT DATA'!L48="","",'INPUT DATA'!L48)</f>
        <v/>
      </c>
      <c r="D53" s="168"/>
      <c r="E53" s="246"/>
      <c r="F53" s="247" t="str">
        <f>IF('INPUT DATA'!M48="","",'INPUT DATA'!M48)</f>
        <v/>
      </c>
      <c r="G53" s="246"/>
      <c r="H53" s="53" t="str">
        <f>IF('INPUT DATA'!N48="","",'INPUT DATA'!N48)</f>
        <v/>
      </c>
      <c r="I53" s="54" t="str">
        <f t="shared" ca="1" si="0"/>
        <v/>
      </c>
      <c r="J53" s="77"/>
      <c r="K53" s="55"/>
      <c r="L53" s="56"/>
      <c r="M53" s="56"/>
      <c r="N53" s="56"/>
      <c r="O53" s="56"/>
      <c r="P53" s="56"/>
      <c r="Q53" s="56"/>
      <c r="R53" s="56"/>
      <c r="S53" s="35"/>
      <c r="T53" s="35"/>
      <c r="U53" s="35"/>
      <c r="V53" s="35"/>
      <c r="W53" s="35"/>
      <c r="X53" s="35"/>
      <c r="Y53" s="35"/>
      <c r="Z53" s="35"/>
      <c r="AA53" s="35"/>
      <c r="AB53" s="35"/>
      <c r="AC53" s="35"/>
    </row>
    <row r="54" spans="1:29" ht="15.75" hidden="1" customHeight="1">
      <c r="A54" s="35"/>
      <c r="B54" s="57">
        <v>39</v>
      </c>
      <c r="C54" s="245" t="str">
        <f>IF('INPUT DATA'!L49="","",'INPUT DATA'!L49)</f>
        <v/>
      </c>
      <c r="D54" s="168"/>
      <c r="E54" s="246"/>
      <c r="F54" s="247" t="str">
        <f>IF('INPUT DATA'!M49="","",'INPUT DATA'!M49)</f>
        <v/>
      </c>
      <c r="G54" s="246"/>
      <c r="H54" s="53" t="str">
        <f>IF('INPUT DATA'!N49="","",'INPUT DATA'!N49)</f>
        <v/>
      </c>
      <c r="I54" s="54" t="str">
        <f t="shared" ca="1" si="0"/>
        <v/>
      </c>
      <c r="J54" s="77"/>
      <c r="K54" s="55"/>
      <c r="L54" s="56"/>
      <c r="M54" s="56"/>
      <c r="N54" s="56"/>
      <c r="O54" s="56"/>
      <c r="P54" s="56"/>
      <c r="Q54" s="56"/>
      <c r="R54" s="56"/>
      <c r="S54" s="35"/>
      <c r="T54" s="35"/>
      <c r="U54" s="35"/>
      <c r="V54" s="35"/>
      <c r="W54" s="35"/>
      <c r="X54" s="35"/>
      <c r="Y54" s="35"/>
      <c r="Z54" s="35"/>
      <c r="AA54" s="35"/>
      <c r="AB54" s="35"/>
      <c r="AC54" s="35"/>
    </row>
    <row r="55" spans="1:29" ht="15.75" hidden="1" customHeight="1">
      <c r="A55" s="35"/>
      <c r="B55" s="57">
        <v>40</v>
      </c>
      <c r="C55" s="245" t="str">
        <f>IF('INPUT DATA'!L50="","",'INPUT DATA'!L50)</f>
        <v/>
      </c>
      <c r="D55" s="168"/>
      <c r="E55" s="246"/>
      <c r="F55" s="247" t="str">
        <f>IF('INPUT DATA'!M50="","",'INPUT DATA'!M50)</f>
        <v/>
      </c>
      <c r="G55" s="246"/>
      <c r="H55" s="53" t="str">
        <f>IF('INPUT DATA'!N50="","",'INPUT DATA'!N50)</f>
        <v/>
      </c>
      <c r="I55" s="54" t="str">
        <f t="shared" ca="1" si="0"/>
        <v/>
      </c>
      <c r="J55" s="77"/>
      <c r="K55" s="55"/>
      <c r="L55" s="56"/>
      <c r="M55" s="56"/>
      <c r="N55" s="56"/>
      <c r="O55" s="56"/>
      <c r="P55" s="56"/>
      <c r="Q55" s="56"/>
      <c r="R55" s="56"/>
      <c r="S55" s="35"/>
      <c r="T55" s="35"/>
      <c r="U55" s="35"/>
      <c r="V55" s="35"/>
      <c r="W55" s="35"/>
      <c r="X55" s="35"/>
      <c r="Y55" s="35"/>
      <c r="Z55" s="35"/>
      <c r="AA55" s="35"/>
      <c r="AB55" s="35"/>
      <c r="AC55" s="35"/>
    </row>
    <row r="56" spans="1:29" ht="15.75" hidden="1" customHeight="1">
      <c r="A56" s="35"/>
      <c r="B56" s="57">
        <v>41</v>
      </c>
      <c r="C56" s="245" t="str">
        <f>IF('INPUT DATA'!L51="","",'INPUT DATA'!L51)</f>
        <v/>
      </c>
      <c r="D56" s="168"/>
      <c r="E56" s="246"/>
      <c r="F56" s="247" t="str">
        <f>IF('INPUT DATA'!M51="","",'INPUT DATA'!M51)</f>
        <v/>
      </c>
      <c r="G56" s="246"/>
      <c r="H56" s="53" t="str">
        <f>IF('INPUT DATA'!N51="","",'INPUT DATA'!N51)</f>
        <v/>
      </c>
      <c r="I56" s="54" t="str">
        <f t="shared" ca="1" si="0"/>
        <v/>
      </c>
      <c r="J56" s="77"/>
      <c r="K56" s="55"/>
      <c r="L56" s="56"/>
      <c r="M56" s="56"/>
      <c r="N56" s="56"/>
      <c r="O56" s="56"/>
      <c r="P56" s="56"/>
      <c r="Q56" s="56"/>
      <c r="R56" s="56"/>
      <c r="S56" s="35"/>
      <c r="T56" s="35"/>
      <c r="U56" s="35"/>
      <c r="V56" s="35"/>
      <c r="W56" s="35"/>
      <c r="X56" s="35"/>
      <c r="Y56" s="35"/>
      <c r="Z56" s="35"/>
      <c r="AA56" s="35"/>
      <c r="AB56" s="35"/>
      <c r="AC56" s="35"/>
    </row>
    <row r="57" spans="1:29" ht="15.75" hidden="1" customHeight="1">
      <c r="A57" s="35"/>
      <c r="B57" s="57">
        <v>42</v>
      </c>
      <c r="C57" s="245" t="str">
        <f>IF('INPUT DATA'!L52="","",'INPUT DATA'!L52)</f>
        <v/>
      </c>
      <c r="D57" s="168"/>
      <c r="E57" s="246"/>
      <c r="F57" s="247" t="str">
        <f>IF('INPUT DATA'!M52="","",'INPUT DATA'!M52)</f>
        <v/>
      </c>
      <c r="G57" s="246"/>
      <c r="H57" s="53" t="str">
        <f>IF('INPUT DATA'!N52="","",'INPUT DATA'!N52)</f>
        <v/>
      </c>
      <c r="I57" s="54" t="str">
        <f t="shared" ca="1" si="0"/>
        <v/>
      </c>
      <c r="J57" s="77"/>
      <c r="K57" s="55"/>
      <c r="L57" s="56"/>
      <c r="M57" s="56"/>
      <c r="N57" s="56"/>
      <c r="O57" s="56"/>
      <c r="P57" s="56"/>
      <c r="Q57" s="56"/>
      <c r="R57" s="56"/>
      <c r="S57" s="35"/>
      <c r="T57" s="35"/>
      <c r="U57" s="35"/>
      <c r="V57" s="35"/>
      <c r="W57" s="35"/>
      <c r="X57" s="35"/>
      <c r="Y57" s="35"/>
      <c r="Z57" s="35"/>
      <c r="AA57" s="35"/>
      <c r="AB57" s="35"/>
      <c r="AC57" s="35"/>
    </row>
    <row r="58" spans="1:29" ht="15.75" hidden="1" customHeight="1">
      <c r="A58" s="35"/>
      <c r="B58" s="57">
        <v>43</v>
      </c>
      <c r="C58" s="245" t="str">
        <f>IF('INPUT DATA'!L53="","",'INPUT DATA'!L53)</f>
        <v/>
      </c>
      <c r="D58" s="168"/>
      <c r="E58" s="246"/>
      <c r="F58" s="247" t="str">
        <f>IF('INPUT DATA'!M53="","",'INPUT DATA'!M53)</f>
        <v/>
      </c>
      <c r="G58" s="246"/>
      <c r="H58" s="53" t="str">
        <f>IF('INPUT DATA'!N53="","",'INPUT DATA'!N53)</f>
        <v/>
      </c>
      <c r="I58" s="54" t="str">
        <f t="shared" ca="1" si="0"/>
        <v/>
      </c>
      <c r="J58" s="77"/>
      <c r="K58" s="55"/>
      <c r="L58" s="56"/>
      <c r="M58" s="56"/>
      <c r="N58" s="56"/>
      <c r="O58" s="56"/>
      <c r="P58" s="56"/>
      <c r="Q58" s="56"/>
      <c r="R58" s="56"/>
      <c r="S58" s="35"/>
      <c r="T58" s="35"/>
      <c r="U58" s="35"/>
      <c r="V58" s="35"/>
      <c r="W58" s="35"/>
      <c r="X58" s="35"/>
      <c r="Y58" s="35"/>
      <c r="Z58" s="35"/>
      <c r="AA58" s="35"/>
      <c r="AB58" s="35"/>
      <c r="AC58" s="35"/>
    </row>
    <row r="59" spans="1:29" ht="15.75" hidden="1" customHeight="1">
      <c r="A59" s="35"/>
      <c r="B59" s="57">
        <v>44</v>
      </c>
      <c r="C59" s="245" t="str">
        <f>IF('INPUT DATA'!L54="","",'INPUT DATA'!L54)</f>
        <v/>
      </c>
      <c r="D59" s="168"/>
      <c r="E59" s="246"/>
      <c r="F59" s="247" t="str">
        <f>IF('INPUT DATA'!M54="","",'INPUT DATA'!M54)</f>
        <v/>
      </c>
      <c r="G59" s="246"/>
      <c r="H59" s="53" t="str">
        <f>IF('INPUT DATA'!N54="","",'INPUT DATA'!N54)</f>
        <v/>
      </c>
      <c r="I59" s="54" t="str">
        <f t="shared" ca="1" si="0"/>
        <v/>
      </c>
      <c r="J59" s="77"/>
      <c r="K59" s="55"/>
      <c r="L59" s="56"/>
      <c r="M59" s="56"/>
      <c r="N59" s="56"/>
      <c r="O59" s="56"/>
      <c r="P59" s="56"/>
      <c r="Q59" s="56"/>
      <c r="R59" s="56"/>
      <c r="S59" s="35"/>
      <c r="T59" s="35"/>
      <c r="U59" s="35"/>
      <c r="V59" s="35"/>
      <c r="W59" s="35"/>
      <c r="X59" s="35"/>
      <c r="Y59" s="35"/>
      <c r="Z59" s="35"/>
      <c r="AA59" s="35"/>
      <c r="AB59" s="35"/>
      <c r="AC59" s="35"/>
    </row>
    <row r="60" spans="1:29" ht="15.75" hidden="1" customHeight="1">
      <c r="A60" s="35"/>
      <c r="B60" s="57">
        <v>45</v>
      </c>
      <c r="C60" s="245" t="str">
        <f>IF('INPUT DATA'!L55="","",'INPUT DATA'!L55)</f>
        <v/>
      </c>
      <c r="D60" s="168"/>
      <c r="E60" s="246"/>
      <c r="F60" s="247" t="str">
        <f>IF('INPUT DATA'!M55="","",'INPUT DATA'!M55)</f>
        <v/>
      </c>
      <c r="G60" s="246"/>
      <c r="H60" s="53" t="str">
        <f>IF('INPUT DATA'!N55="","",'INPUT DATA'!N55)</f>
        <v/>
      </c>
      <c r="I60" s="54" t="str">
        <f t="shared" ca="1" si="0"/>
        <v/>
      </c>
      <c r="J60" s="77"/>
      <c r="K60" s="58"/>
      <c r="L60" s="59"/>
      <c r="M60" s="59"/>
      <c r="N60" s="59"/>
      <c r="O60" s="59"/>
      <c r="P60" s="59"/>
      <c r="Q60" s="59"/>
      <c r="R60" s="59"/>
      <c r="S60" s="35"/>
      <c r="T60" s="35"/>
      <c r="U60" s="35"/>
      <c r="V60" s="35"/>
      <c r="W60" s="35"/>
      <c r="X60" s="35"/>
      <c r="Y60" s="35"/>
      <c r="Z60" s="35"/>
      <c r="AA60" s="35"/>
      <c r="AB60" s="35"/>
      <c r="AC60" s="35"/>
    </row>
    <row r="61" spans="1:29" ht="15.75" hidden="1" customHeight="1">
      <c r="A61" s="35"/>
      <c r="B61" s="57">
        <v>46</v>
      </c>
      <c r="C61" s="245" t="str">
        <f>IF('INPUT DATA'!L56="","",'INPUT DATA'!L56)</f>
        <v/>
      </c>
      <c r="D61" s="168"/>
      <c r="E61" s="246"/>
      <c r="F61" s="247" t="str">
        <f>IF('INPUT DATA'!M56="","",'INPUT DATA'!M56)</f>
        <v/>
      </c>
      <c r="G61" s="246"/>
      <c r="H61" s="53" t="str">
        <f>IF('INPUT DATA'!N56="","",'INPUT DATA'!N56)</f>
        <v/>
      </c>
      <c r="I61" s="54" t="str">
        <f t="shared" ca="1" si="0"/>
        <v/>
      </c>
      <c r="J61" s="77" t="s">
        <v>51</v>
      </c>
      <c r="K61" s="55"/>
      <c r="L61" s="56"/>
      <c r="M61" s="56"/>
      <c r="N61" s="56"/>
      <c r="O61" s="56"/>
      <c r="P61" s="56"/>
      <c r="Q61" s="56"/>
      <c r="R61" s="56"/>
      <c r="S61" s="35"/>
      <c r="T61" s="35"/>
      <c r="U61" s="35"/>
      <c r="V61" s="35"/>
      <c r="W61" s="35"/>
      <c r="X61" s="35"/>
      <c r="Y61" s="35"/>
      <c r="Z61" s="35"/>
      <c r="AA61" s="35"/>
      <c r="AB61" s="35"/>
      <c r="AC61" s="35"/>
    </row>
    <row r="62" spans="1:29" ht="15.75" hidden="1" customHeight="1">
      <c r="A62" s="35"/>
      <c r="B62" s="57">
        <v>47</v>
      </c>
      <c r="C62" s="245" t="str">
        <f>IF('INPUT DATA'!L57="","",'INPUT DATA'!L57)</f>
        <v/>
      </c>
      <c r="D62" s="168"/>
      <c r="E62" s="246"/>
      <c r="F62" s="247" t="str">
        <f>IF('INPUT DATA'!M57="","",'INPUT DATA'!M57)</f>
        <v/>
      </c>
      <c r="G62" s="246"/>
      <c r="H62" s="53" t="str">
        <f>IF('INPUT DATA'!N57="","",'INPUT DATA'!N57)</f>
        <v/>
      </c>
      <c r="I62" s="54" t="str">
        <f t="shared" ca="1" si="0"/>
        <v/>
      </c>
      <c r="J62" s="77"/>
      <c r="K62" s="55"/>
      <c r="L62" s="56"/>
      <c r="M62" s="56"/>
      <c r="N62" s="56"/>
      <c r="O62" s="56"/>
      <c r="P62" s="56"/>
      <c r="Q62" s="56"/>
      <c r="R62" s="56"/>
      <c r="S62" s="35"/>
      <c r="T62" s="35"/>
      <c r="U62" s="35"/>
      <c r="V62" s="35"/>
      <c r="W62" s="35"/>
      <c r="X62" s="35"/>
      <c r="Y62" s="35"/>
      <c r="Z62" s="35"/>
      <c r="AA62" s="35"/>
      <c r="AB62" s="35"/>
      <c r="AC62" s="35"/>
    </row>
    <row r="63" spans="1:29" ht="15.75" hidden="1" customHeight="1">
      <c r="A63" s="35"/>
      <c r="B63" s="57">
        <v>48</v>
      </c>
      <c r="C63" s="245" t="str">
        <f>IF('INPUT DATA'!L58="","",'INPUT DATA'!L58)</f>
        <v/>
      </c>
      <c r="D63" s="168"/>
      <c r="E63" s="246"/>
      <c r="F63" s="247" t="str">
        <f>IF('INPUT DATA'!M58="","",'INPUT DATA'!M58)</f>
        <v/>
      </c>
      <c r="G63" s="246"/>
      <c r="H63" s="53" t="str">
        <f>IF('INPUT DATA'!N58="","",'INPUT DATA'!N58)</f>
        <v/>
      </c>
      <c r="I63" s="54" t="str">
        <f t="shared" ca="1" si="0"/>
        <v/>
      </c>
      <c r="J63" s="77"/>
      <c r="K63" s="55"/>
      <c r="L63" s="56"/>
      <c r="M63" s="56"/>
      <c r="N63" s="56"/>
      <c r="O63" s="56"/>
      <c r="P63" s="56"/>
      <c r="Q63" s="56"/>
      <c r="R63" s="56"/>
      <c r="S63" s="35"/>
      <c r="T63" s="35"/>
      <c r="U63" s="35"/>
      <c r="V63" s="35"/>
      <c r="W63" s="35"/>
      <c r="X63" s="35"/>
      <c r="Y63" s="35"/>
      <c r="Z63" s="35"/>
      <c r="AA63" s="35"/>
      <c r="AB63" s="35"/>
      <c r="AC63" s="35"/>
    </row>
    <row r="64" spans="1:29" ht="15.75" hidden="1" customHeight="1">
      <c r="A64" s="35"/>
      <c r="B64" s="57">
        <v>49</v>
      </c>
      <c r="C64" s="245" t="str">
        <f>IF('INPUT DATA'!L59="","",'INPUT DATA'!L59)</f>
        <v/>
      </c>
      <c r="D64" s="168"/>
      <c r="E64" s="246"/>
      <c r="F64" s="247" t="str">
        <f>IF('INPUT DATA'!M59="","",'INPUT DATA'!M59)</f>
        <v/>
      </c>
      <c r="G64" s="246"/>
      <c r="H64" s="53" t="str">
        <f>IF('INPUT DATA'!N59="","",'INPUT DATA'!N59)</f>
        <v/>
      </c>
      <c r="I64" s="54" t="str">
        <f t="shared" ca="1" si="0"/>
        <v/>
      </c>
      <c r="J64" s="77"/>
      <c r="K64" s="55"/>
      <c r="L64" s="56"/>
      <c r="M64" s="56"/>
      <c r="N64" s="56"/>
      <c r="O64" s="56"/>
      <c r="P64" s="56"/>
      <c r="Q64" s="56"/>
      <c r="R64" s="56"/>
      <c r="S64" s="35"/>
      <c r="T64" s="35"/>
      <c r="U64" s="35"/>
      <c r="V64" s="35"/>
      <c r="W64" s="35"/>
      <c r="X64" s="35"/>
      <c r="Y64" s="35"/>
      <c r="Z64" s="35"/>
      <c r="AA64" s="35"/>
      <c r="AB64" s="35"/>
      <c r="AC64" s="35"/>
    </row>
    <row r="65" spans="1:29" ht="15.75" hidden="1" customHeight="1">
      <c r="A65" s="35"/>
      <c r="B65" s="60">
        <v>50</v>
      </c>
      <c r="C65" s="255" t="str">
        <f>IF('INPUT DATA'!L60="","",'INPUT DATA'!L60)</f>
        <v/>
      </c>
      <c r="D65" s="256"/>
      <c r="E65" s="257"/>
      <c r="F65" s="258" t="str">
        <f>IF('INPUT DATA'!M60="","",'INPUT DATA'!M60)</f>
        <v/>
      </c>
      <c r="G65" s="257"/>
      <c r="H65" s="79" t="str">
        <f>IF('INPUT DATA'!N60="","",'INPUT DATA'!N60)</f>
        <v/>
      </c>
      <c r="I65" s="62" t="str">
        <f t="shared" ca="1" si="0"/>
        <v/>
      </c>
      <c r="J65" s="80"/>
      <c r="K65" s="63"/>
      <c r="L65" s="64"/>
      <c r="M65" s="64"/>
      <c r="N65" s="64"/>
      <c r="O65" s="64"/>
      <c r="P65" s="64"/>
      <c r="Q65" s="64"/>
      <c r="R65" s="64"/>
      <c r="S65" s="35"/>
      <c r="T65" s="35"/>
      <c r="U65" s="35"/>
      <c r="V65" s="35"/>
      <c r="W65" s="35"/>
      <c r="X65" s="35"/>
      <c r="Y65" s="35"/>
      <c r="Z65" s="35"/>
      <c r="AA65" s="35"/>
      <c r="AB65" s="35"/>
      <c r="AC65" s="35"/>
    </row>
    <row r="66" spans="1:29" ht="15.75" customHeight="1">
      <c r="A66" s="35"/>
      <c r="B66" s="65" t="s">
        <v>9</v>
      </c>
      <c r="C66" s="66"/>
      <c r="D66" s="66"/>
      <c r="E66" s="66"/>
      <c r="F66" s="66"/>
      <c r="G66" s="66"/>
      <c r="H66" s="66"/>
      <c r="I66" s="66"/>
      <c r="J66" s="68"/>
      <c r="K66" s="67"/>
      <c r="L66" s="67"/>
      <c r="M66" s="67"/>
      <c r="N66" s="67"/>
      <c r="O66" s="67"/>
      <c r="P66" s="67"/>
      <c r="Q66" s="67"/>
      <c r="R66" s="69"/>
      <c r="S66" s="35"/>
      <c r="T66" s="35"/>
      <c r="U66" s="35"/>
      <c r="V66" s="35"/>
      <c r="W66" s="35"/>
      <c r="X66" s="35"/>
      <c r="Y66" s="35"/>
      <c r="Z66" s="35"/>
      <c r="AA66" s="35"/>
      <c r="AB66" s="35"/>
      <c r="AC66" s="35"/>
    </row>
    <row r="67" spans="1:29" ht="15.75" customHeight="1">
      <c r="A67" s="35"/>
      <c r="B67" s="48">
        <v>1</v>
      </c>
      <c r="C67" s="259" t="str">
        <f>IF('INPUT DATA'!Q11="","",'INPUT DATA'!Q11)</f>
        <v>Agustin, Maria Isabelle Maballo</v>
      </c>
      <c r="D67" s="260"/>
      <c r="E67" s="261"/>
      <c r="F67" s="247">
        <v>107736150127</v>
      </c>
      <c r="G67" s="246"/>
      <c r="H67" s="70" t="str">
        <f>IF('INPUT DATA'!S11="","",'INPUT DATA'!S11)</f>
        <v>08/28/2010</v>
      </c>
      <c r="I67" s="54" t="e">
        <f t="shared" ref="I67:I116" ca="1" si="2">IF(H67="","",DATEDIF(H67,TODAY(),"Y"))</f>
        <v>#VALUE!</v>
      </c>
      <c r="J67" s="50" t="s">
        <v>52</v>
      </c>
      <c r="K67" s="51">
        <f t="shared" ref="K67:K74" si="3">IF(COUNT(L67:R67)=0,"",ROUND((L67+M67+N67+O67+P67+Q67+R67)/7,0))</f>
        <v>91</v>
      </c>
      <c r="L67" s="139">
        <v>91</v>
      </c>
      <c r="M67" s="139">
        <v>92</v>
      </c>
      <c r="N67" s="139">
        <v>88</v>
      </c>
      <c r="O67" s="139">
        <v>91</v>
      </c>
      <c r="P67" s="139">
        <v>94</v>
      </c>
      <c r="Q67" s="139">
        <v>92</v>
      </c>
      <c r="R67" s="139">
        <v>90</v>
      </c>
      <c r="S67" s="35"/>
      <c r="T67" s="35"/>
      <c r="U67" s="35"/>
      <c r="V67" s="35"/>
      <c r="W67" s="35"/>
      <c r="X67" s="35"/>
      <c r="Y67" s="35"/>
      <c r="Z67" s="35"/>
      <c r="AA67" s="35"/>
      <c r="AB67" s="35"/>
      <c r="AC67" s="35"/>
    </row>
    <row r="68" spans="1:29" ht="15.75" customHeight="1">
      <c r="A68" s="35"/>
      <c r="B68" s="52">
        <v>2</v>
      </c>
      <c r="C68" s="262" t="str">
        <f>IF('INPUT DATA'!Q12="","",'INPUT DATA'!Q12)</f>
        <v>Barba, Jewel Caraan</v>
      </c>
      <c r="D68" s="172"/>
      <c r="E68" s="263"/>
      <c r="F68" s="264">
        <v>117071150014</v>
      </c>
      <c r="G68" s="265"/>
      <c r="H68" s="71" t="str">
        <f>IF('INPUT DATA'!S12="","",'INPUT DATA'!S12)</f>
        <v>1/31/2010</v>
      </c>
      <c r="I68" s="54" t="e">
        <f t="shared" ca="1" si="2"/>
        <v>#VALUE!</v>
      </c>
      <c r="J68" s="54" t="s">
        <v>52</v>
      </c>
      <c r="K68" s="51">
        <f t="shared" si="3"/>
        <v>86</v>
      </c>
      <c r="L68" s="140">
        <v>87</v>
      </c>
      <c r="M68" s="140">
        <v>89</v>
      </c>
      <c r="N68" s="140">
        <v>81</v>
      </c>
      <c r="O68" s="140">
        <v>85</v>
      </c>
      <c r="P68" s="140">
        <v>91</v>
      </c>
      <c r="Q68" s="140">
        <v>87</v>
      </c>
      <c r="R68" s="140">
        <v>85</v>
      </c>
      <c r="S68" s="35"/>
      <c r="T68" s="35"/>
      <c r="U68" s="35"/>
      <c r="V68" s="35"/>
      <c r="W68" s="35"/>
      <c r="X68" s="35"/>
      <c r="Y68" s="35"/>
      <c r="Z68" s="35"/>
      <c r="AA68" s="35"/>
      <c r="AB68" s="35"/>
      <c r="AC68" s="35"/>
    </row>
    <row r="69" spans="1:29" ht="15.75" customHeight="1">
      <c r="A69" s="35"/>
      <c r="B69" s="52">
        <v>3</v>
      </c>
      <c r="C69" s="262" t="str">
        <f>IF('INPUT DATA'!Q13="","",'INPUT DATA'!Q13)</f>
        <v>Bartolome, Anne Joyce Alido</v>
      </c>
      <c r="D69" s="172"/>
      <c r="E69" s="263"/>
      <c r="F69" s="264">
        <v>107736150120</v>
      </c>
      <c r="G69" s="265"/>
      <c r="H69" s="71" t="str">
        <f>IF('INPUT DATA'!S13="","",'INPUT DATA'!S13)</f>
        <v>4/29/2010</v>
      </c>
      <c r="I69" s="54" t="e">
        <f t="shared" ca="1" si="2"/>
        <v>#VALUE!</v>
      </c>
      <c r="J69" s="54" t="s">
        <v>52</v>
      </c>
      <c r="K69" s="51">
        <f t="shared" si="3"/>
        <v>93</v>
      </c>
      <c r="L69" s="140">
        <v>94</v>
      </c>
      <c r="M69" s="140">
        <v>93</v>
      </c>
      <c r="N69" s="140">
        <v>90</v>
      </c>
      <c r="O69" s="140">
        <v>91</v>
      </c>
      <c r="P69" s="140">
        <v>94</v>
      </c>
      <c r="Q69" s="140">
        <v>94</v>
      </c>
      <c r="R69" s="140">
        <v>93</v>
      </c>
      <c r="S69" s="35"/>
      <c r="T69" s="35"/>
      <c r="U69" s="35"/>
      <c r="V69" s="35"/>
      <c r="W69" s="35"/>
      <c r="X69" s="35"/>
      <c r="Y69" s="35"/>
      <c r="Z69" s="35"/>
      <c r="AA69" s="35"/>
      <c r="AB69" s="35"/>
      <c r="AC69" s="35"/>
    </row>
    <row r="70" spans="1:29" ht="15.75" customHeight="1">
      <c r="A70" s="35"/>
      <c r="B70" s="52">
        <v>4</v>
      </c>
      <c r="C70" s="262" t="str">
        <f>IF('INPUT DATA'!Q14="","",'INPUT DATA'!Q14)</f>
        <v>Batallon, Lea Joy Aropon</v>
      </c>
      <c r="D70" s="172"/>
      <c r="E70" s="263"/>
      <c r="F70" s="264">
        <v>109478130567</v>
      </c>
      <c r="G70" s="265"/>
      <c r="H70" s="71">
        <f>IF('INPUT DATA'!S14="","",'INPUT DATA'!S14)</f>
        <v>40186</v>
      </c>
      <c r="I70" s="54">
        <f t="shared" ca="1" si="2"/>
        <v>16</v>
      </c>
      <c r="J70" s="54" t="s">
        <v>52</v>
      </c>
      <c r="K70" s="51">
        <f t="shared" si="3"/>
        <v>89</v>
      </c>
      <c r="L70" s="140">
        <v>89</v>
      </c>
      <c r="M70" s="140">
        <v>90</v>
      </c>
      <c r="N70" s="140">
        <v>91</v>
      </c>
      <c r="O70" s="140">
        <v>84</v>
      </c>
      <c r="P70" s="140">
        <v>93</v>
      </c>
      <c r="Q70" s="142">
        <v>90</v>
      </c>
      <c r="R70" s="140">
        <v>88</v>
      </c>
      <c r="S70" s="35"/>
      <c r="T70" s="35"/>
      <c r="U70" s="35"/>
      <c r="V70" s="35"/>
      <c r="W70" s="35"/>
      <c r="X70" s="35"/>
      <c r="Y70" s="35"/>
      <c r="Z70" s="35"/>
      <c r="AA70" s="35"/>
      <c r="AB70" s="35"/>
      <c r="AC70" s="35"/>
    </row>
    <row r="71" spans="1:29" ht="15.75" customHeight="1">
      <c r="A71" s="35"/>
      <c r="B71" s="52">
        <v>5</v>
      </c>
      <c r="C71" s="262" t="str">
        <f>IF('INPUT DATA'!Q15="","",'INPUT DATA'!Q15)</f>
        <v>Blanco, Nica Ella Tolentino</v>
      </c>
      <c r="D71" s="172"/>
      <c r="E71" s="263"/>
      <c r="F71" s="264">
        <v>107743150085</v>
      </c>
      <c r="G71" s="265"/>
      <c r="H71" s="71">
        <f>IF('INPUT DATA'!S15="","",'INPUT DATA'!S15)</f>
        <v>40427</v>
      </c>
      <c r="I71" s="54">
        <v>16</v>
      </c>
      <c r="J71" s="54" t="s">
        <v>52</v>
      </c>
      <c r="K71" s="51">
        <f t="shared" si="3"/>
        <v>88</v>
      </c>
      <c r="L71" s="140">
        <v>88</v>
      </c>
      <c r="M71" s="140">
        <v>89</v>
      </c>
      <c r="N71" s="140">
        <v>83</v>
      </c>
      <c r="O71" s="140">
        <v>87</v>
      </c>
      <c r="P71" s="140">
        <v>93</v>
      </c>
      <c r="Q71" s="142">
        <v>93</v>
      </c>
      <c r="R71" s="140">
        <v>86</v>
      </c>
      <c r="S71" s="35"/>
      <c r="T71" s="35"/>
      <c r="U71" s="35"/>
      <c r="V71" s="35"/>
      <c r="W71" s="35"/>
      <c r="X71" s="35"/>
      <c r="Y71" s="35"/>
      <c r="Z71" s="35"/>
      <c r="AA71" s="35"/>
      <c r="AB71" s="35"/>
      <c r="AC71" s="35"/>
    </row>
    <row r="72" spans="1:29" ht="15.75" customHeight="1">
      <c r="A72" s="35"/>
      <c r="B72" s="52">
        <v>6</v>
      </c>
      <c r="C72" s="262" t="str">
        <f>IF('INPUT DATA'!Q16="","",'INPUT DATA'!Q16)</f>
        <v>Cumabig, Trishia Nicole Blanco</v>
      </c>
      <c r="D72" s="172"/>
      <c r="E72" s="263"/>
      <c r="F72" s="264">
        <v>107736150010</v>
      </c>
      <c r="G72" s="265"/>
      <c r="H72" s="71" t="str">
        <f>IF('INPUT DATA'!S16="","",'INPUT DATA'!S16)</f>
        <v>11/30/2009</v>
      </c>
      <c r="I72" s="54" t="e">
        <f t="shared" ca="1" si="2"/>
        <v>#VALUE!</v>
      </c>
      <c r="J72" s="54" t="s">
        <v>52</v>
      </c>
      <c r="K72" s="51">
        <f t="shared" si="3"/>
        <v>90</v>
      </c>
      <c r="L72" s="140">
        <v>90</v>
      </c>
      <c r="M72" s="140">
        <v>94</v>
      </c>
      <c r="N72" s="140">
        <v>86</v>
      </c>
      <c r="O72" s="140">
        <v>88</v>
      </c>
      <c r="P72" s="140">
        <v>92</v>
      </c>
      <c r="Q72" s="142">
        <v>90</v>
      </c>
      <c r="R72" s="140">
        <v>87</v>
      </c>
      <c r="S72" s="35"/>
      <c r="T72" s="35"/>
      <c r="U72" s="35"/>
      <c r="V72" s="35"/>
      <c r="W72" s="35"/>
      <c r="X72" s="35"/>
      <c r="Y72" s="35"/>
      <c r="Z72" s="35"/>
      <c r="AA72" s="35"/>
      <c r="AB72" s="35"/>
      <c r="AC72" s="35"/>
    </row>
    <row r="73" spans="1:29" ht="15.75" customHeight="1">
      <c r="A73" s="35"/>
      <c r="B73" s="52">
        <v>7</v>
      </c>
      <c r="C73" s="262" t="str">
        <f>IF('INPUT DATA'!Q17="","",'INPUT DATA'!Q17)</f>
        <v>Diomampo, Judy Lyn De Chavez</v>
      </c>
      <c r="D73" s="172"/>
      <c r="E73" s="263"/>
      <c r="F73" s="264">
        <v>107737150044</v>
      </c>
      <c r="G73" s="265"/>
      <c r="H73" s="71" t="str">
        <f>IF('INPUT DATA'!S17="","",'INPUT DATA'!S17)</f>
        <v>11/21/2009</v>
      </c>
      <c r="I73" s="54">
        <v>16</v>
      </c>
      <c r="J73" s="54" t="s">
        <v>52</v>
      </c>
      <c r="K73" s="51">
        <f t="shared" si="3"/>
        <v>91</v>
      </c>
      <c r="L73" s="140">
        <v>90</v>
      </c>
      <c r="M73" s="140">
        <v>93</v>
      </c>
      <c r="N73" s="140">
        <v>87</v>
      </c>
      <c r="O73" s="140">
        <v>87</v>
      </c>
      <c r="P73" s="140">
        <v>94</v>
      </c>
      <c r="Q73" s="142">
        <v>94</v>
      </c>
      <c r="R73" s="140">
        <v>90</v>
      </c>
      <c r="S73" s="35"/>
      <c r="T73" s="35"/>
      <c r="U73" s="35"/>
      <c r="V73" s="35"/>
      <c r="W73" s="35"/>
      <c r="X73" s="35"/>
      <c r="Y73" s="35"/>
      <c r="Z73" s="35"/>
      <c r="AA73" s="35"/>
      <c r="AB73" s="35"/>
      <c r="AC73" s="35"/>
    </row>
    <row r="74" spans="1:29" ht="15.75" customHeight="1">
      <c r="A74" s="35"/>
      <c r="B74" s="52">
        <v>8</v>
      </c>
      <c r="C74" s="262" t="str">
        <f>IF('INPUT DATA'!Q18="","",'INPUT DATA'!Q18)</f>
        <v>Diones, Alexi Faye Dela Cruz</v>
      </c>
      <c r="D74" s="172"/>
      <c r="E74" s="263"/>
      <c r="F74" s="264">
        <v>107746150063</v>
      </c>
      <c r="G74" s="265"/>
      <c r="H74" s="71">
        <f>IF('INPUT DATA'!S18="","",'INPUT DATA'!S18)</f>
        <v>40269</v>
      </c>
      <c r="I74" s="54">
        <f t="shared" ca="1" si="2"/>
        <v>16</v>
      </c>
      <c r="J74" s="54" t="s">
        <v>52</v>
      </c>
      <c r="K74" s="51">
        <f t="shared" si="3"/>
        <v>87</v>
      </c>
      <c r="L74" s="140">
        <v>87</v>
      </c>
      <c r="M74" s="140">
        <v>88</v>
      </c>
      <c r="N74" s="140">
        <v>81</v>
      </c>
      <c r="O74" s="140">
        <v>87</v>
      </c>
      <c r="P74" s="140">
        <v>91</v>
      </c>
      <c r="Q74" s="142">
        <v>90</v>
      </c>
      <c r="R74" s="140">
        <v>86</v>
      </c>
      <c r="S74" s="35"/>
      <c r="T74" s="35"/>
      <c r="U74" s="35"/>
      <c r="V74" s="35"/>
      <c r="W74" s="35"/>
      <c r="X74" s="35"/>
      <c r="Y74" s="35"/>
      <c r="Z74" s="35"/>
      <c r="AA74" s="35"/>
      <c r="AB74" s="35"/>
      <c r="AC74" s="35"/>
    </row>
    <row r="75" spans="1:29" ht="15.75" customHeight="1">
      <c r="A75" s="35"/>
      <c r="B75" s="52">
        <v>9</v>
      </c>
      <c r="C75" s="262" t="str">
        <f>IF('INPUT DATA'!Q19="","",'INPUT DATA'!Q19)</f>
        <v>Galea, Jamica Rasco</v>
      </c>
      <c r="D75" s="172"/>
      <c r="E75" s="263"/>
      <c r="F75" s="264" t="str">
        <f>IF('INPUT DATA'!T19="","",'INPUT DATA'!T19)</f>
        <v/>
      </c>
      <c r="G75" s="263"/>
      <c r="H75" s="71" t="str">
        <f>IF('INPUT DATA'!S19="","",'INPUT DATA'!S19)</f>
        <v>8/30/2010</v>
      </c>
      <c r="I75" s="54" t="e">
        <f t="shared" ca="1" si="2"/>
        <v>#VALUE!</v>
      </c>
      <c r="J75" s="54" t="s">
        <v>52</v>
      </c>
      <c r="K75" s="55"/>
      <c r="L75" s="140">
        <v>88</v>
      </c>
      <c r="M75" s="140">
        <v>91</v>
      </c>
      <c r="N75" s="140">
        <v>83</v>
      </c>
      <c r="O75" s="140">
        <v>86</v>
      </c>
      <c r="P75" s="140">
        <v>92</v>
      </c>
      <c r="Q75" s="142">
        <v>89</v>
      </c>
      <c r="R75" s="140">
        <v>85</v>
      </c>
      <c r="S75" s="35"/>
      <c r="T75" s="35"/>
      <c r="U75" s="35"/>
      <c r="V75" s="35"/>
      <c r="W75" s="35"/>
      <c r="X75" s="35"/>
      <c r="Y75" s="35"/>
      <c r="Z75" s="35"/>
      <c r="AA75" s="35"/>
      <c r="AB75" s="35"/>
      <c r="AC75" s="35"/>
    </row>
    <row r="76" spans="1:29" ht="15.75" customHeight="1">
      <c r="A76" s="35"/>
      <c r="B76" s="52">
        <v>10</v>
      </c>
      <c r="C76" s="262" t="str">
        <f>IF('INPUT DATA'!Q20="","",'INPUT DATA'!Q20)</f>
        <v>Guevarra, Carlyn Avendaño</v>
      </c>
      <c r="D76" s="172"/>
      <c r="E76" s="263"/>
      <c r="F76" s="264" t="str">
        <f>IF('INPUT DATA'!T20="","",'INPUT DATA'!T20)</f>
        <v/>
      </c>
      <c r="G76" s="263"/>
      <c r="H76" s="71">
        <f>IF('INPUT DATA'!S20="","",'INPUT DATA'!S20)</f>
        <v>40491</v>
      </c>
      <c r="I76" s="54">
        <f t="shared" ca="1" si="2"/>
        <v>15</v>
      </c>
      <c r="J76" s="54" t="s">
        <v>52</v>
      </c>
      <c r="K76" s="55"/>
      <c r="L76" s="140">
        <v>90</v>
      </c>
      <c r="M76" s="140">
        <v>93</v>
      </c>
      <c r="N76" s="140">
        <v>86</v>
      </c>
      <c r="O76" s="140">
        <v>92</v>
      </c>
      <c r="P76" s="140">
        <v>93</v>
      </c>
      <c r="Q76" s="142">
        <v>91</v>
      </c>
      <c r="R76" s="140">
        <v>92</v>
      </c>
      <c r="S76" s="35"/>
      <c r="T76" s="35"/>
      <c r="U76" s="35"/>
      <c r="V76" s="35"/>
      <c r="W76" s="35"/>
      <c r="X76" s="35"/>
      <c r="Y76" s="35"/>
      <c r="Z76" s="35"/>
      <c r="AA76" s="35"/>
      <c r="AB76" s="35"/>
      <c r="AC76" s="35"/>
    </row>
    <row r="77" spans="1:29" ht="15.75" customHeight="1">
      <c r="A77" s="35"/>
      <c r="B77" s="52">
        <v>11</v>
      </c>
      <c r="C77" s="262" t="str">
        <f>IF('INPUT DATA'!Q21="","",'INPUT DATA'!Q21)</f>
        <v>Hilario, Patricia Gail Galisanao</v>
      </c>
      <c r="D77" s="172"/>
      <c r="E77" s="263"/>
      <c r="F77" s="264" t="str">
        <f>IF('INPUT DATA'!T21="","",'INPUT DATA'!T21)</f>
        <v/>
      </c>
      <c r="G77" s="263"/>
      <c r="H77" s="71">
        <f>IF('INPUT DATA'!S21="","",'INPUT DATA'!S21)</f>
        <v>39974</v>
      </c>
      <c r="I77" s="54">
        <f t="shared" ca="1" si="2"/>
        <v>17</v>
      </c>
      <c r="J77" s="54" t="s">
        <v>52</v>
      </c>
      <c r="K77" s="55"/>
      <c r="L77" s="140">
        <v>90</v>
      </c>
      <c r="M77" s="140">
        <v>95</v>
      </c>
      <c r="N77" s="140">
        <v>86</v>
      </c>
      <c r="O77" s="140">
        <v>88</v>
      </c>
      <c r="P77" s="140">
        <v>97</v>
      </c>
      <c r="Q77" s="142">
        <v>95</v>
      </c>
      <c r="R77" s="140">
        <v>89</v>
      </c>
      <c r="S77" s="35"/>
      <c r="T77" s="35"/>
      <c r="U77" s="35"/>
      <c r="V77" s="35"/>
      <c r="W77" s="35"/>
      <c r="X77" s="35"/>
      <c r="Y77" s="35"/>
      <c r="Z77" s="35"/>
      <c r="AA77" s="35"/>
      <c r="AB77" s="35"/>
      <c r="AC77" s="35"/>
    </row>
    <row r="78" spans="1:29" ht="15.75" customHeight="1">
      <c r="A78" s="35"/>
      <c r="B78" s="52">
        <v>12</v>
      </c>
      <c r="C78" s="262" t="str">
        <f>IF('INPUT DATA'!Q22="","",'INPUT DATA'!Q22)</f>
        <v>Jamila, Newrey Miaca Almendras</v>
      </c>
      <c r="D78" s="172"/>
      <c r="E78" s="263"/>
      <c r="F78" s="264" t="str">
        <f>IF('INPUT DATA'!T22="","",'INPUT DATA'!T22)</f>
        <v/>
      </c>
      <c r="G78" s="263"/>
      <c r="H78" s="71" t="str">
        <f>IF('INPUT DATA'!S22="","",'INPUT DATA'!S22)</f>
        <v>11/28/2009</v>
      </c>
      <c r="I78" s="54" t="e">
        <f t="shared" ca="1" si="2"/>
        <v>#VALUE!</v>
      </c>
      <c r="J78" s="54" t="s">
        <v>52</v>
      </c>
      <c r="K78" s="55"/>
      <c r="L78" s="140">
        <v>85</v>
      </c>
      <c r="M78" s="140">
        <v>92</v>
      </c>
      <c r="N78" s="140">
        <v>82</v>
      </c>
      <c r="O78" s="140">
        <v>84</v>
      </c>
      <c r="P78" s="140">
        <v>91</v>
      </c>
      <c r="Q78" s="142">
        <v>85</v>
      </c>
      <c r="R78" s="140">
        <v>84</v>
      </c>
      <c r="S78" s="35"/>
      <c r="T78" s="35"/>
      <c r="U78" s="35"/>
      <c r="V78" s="35"/>
      <c r="W78" s="35"/>
      <c r="X78" s="35"/>
      <c r="Y78" s="35"/>
      <c r="Z78" s="35"/>
      <c r="AA78" s="35"/>
      <c r="AB78" s="35"/>
      <c r="AC78" s="35"/>
    </row>
    <row r="79" spans="1:29" ht="15.75" customHeight="1">
      <c r="A79" s="35"/>
      <c r="B79" s="52">
        <v>13</v>
      </c>
      <c r="C79" s="262" t="str">
        <f>IF('INPUT DATA'!Q23="","",'INPUT DATA'!Q23)</f>
        <v>Lacatan, Heart Anne Zamudio</v>
      </c>
      <c r="D79" s="172"/>
      <c r="E79" s="263"/>
      <c r="F79" s="264" t="str">
        <f>IF('INPUT DATA'!T23="","",'INPUT DATA'!T23)</f>
        <v/>
      </c>
      <c r="G79" s="263"/>
      <c r="H79" s="71" t="str">
        <f>IF('INPUT DATA'!S23="","",'INPUT DATA'!S23)</f>
        <v>2/14/2010</v>
      </c>
      <c r="I79" s="54" t="e">
        <f t="shared" ca="1" si="2"/>
        <v>#VALUE!</v>
      </c>
      <c r="J79" s="54" t="s">
        <v>52</v>
      </c>
      <c r="K79" s="55"/>
      <c r="L79" s="140">
        <v>87</v>
      </c>
      <c r="M79" s="140">
        <v>89</v>
      </c>
      <c r="N79" s="140">
        <v>84</v>
      </c>
      <c r="O79" s="140">
        <v>83</v>
      </c>
      <c r="P79" s="140">
        <v>90</v>
      </c>
      <c r="Q79" s="142">
        <v>85</v>
      </c>
      <c r="R79" s="140">
        <v>84</v>
      </c>
      <c r="S79" s="35"/>
      <c r="T79" s="35"/>
      <c r="U79" s="35"/>
      <c r="V79" s="35"/>
      <c r="W79" s="35"/>
      <c r="X79" s="35"/>
      <c r="Y79" s="35"/>
      <c r="Z79" s="35"/>
      <c r="AA79" s="35"/>
      <c r="AB79" s="35"/>
      <c r="AC79" s="35"/>
    </row>
    <row r="80" spans="1:29" ht="15.75" customHeight="1">
      <c r="A80" s="35"/>
      <c r="B80" s="52">
        <v>14</v>
      </c>
      <c r="C80" s="262" t="str">
        <f>IF('INPUT DATA'!Q24="","",'INPUT DATA'!Q24)</f>
        <v>Laluna, Francess Brianna Balazon</v>
      </c>
      <c r="D80" s="172"/>
      <c r="E80" s="263"/>
      <c r="F80" s="264" t="str">
        <f>IF('INPUT DATA'!T24="","",'INPUT DATA'!T24)</f>
        <v/>
      </c>
      <c r="G80" s="263"/>
      <c r="H80" s="71">
        <f>IF('INPUT DATA'!S24="","",'INPUT DATA'!S24)</f>
        <v>40428</v>
      </c>
      <c r="I80" s="54">
        <f t="shared" ca="1" si="2"/>
        <v>16</v>
      </c>
      <c r="J80" s="54" t="s">
        <v>52</v>
      </c>
      <c r="K80" s="55"/>
      <c r="L80" s="140">
        <v>92</v>
      </c>
      <c r="M80" s="140">
        <v>92</v>
      </c>
      <c r="N80" s="140">
        <v>83</v>
      </c>
      <c r="O80" s="140">
        <v>88</v>
      </c>
      <c r="P80" s="140">
        <v>96</v>
      </c>
      <c r="Q80" s="142">
        <v>93</v>
      </c>
      <c r="R80" s="140">
        <v>93</v>
      </c>
      <c r="S80" s="35"/>
      <c r="T80" s="35"/>
      <c r="U80" s="35"/>
      <c r="V80" s="35"/>
      <c r="W80" s="35"/>
      <c r="X80" s="35"/>
      <c r="Y80" s="35"/>
      <c r="Z80" s="35"/>
      <c r="AA80" s="35"/>
      <c r="AB80" s="35"/>
      <c r="AC80" s="35"/>
    </row>
    <row r="81" spans="1:29" ht="15.75" customHeight="1">
      <c r="A81" s="35"/>
      <c r="B81" s="52">
        <v>15</v>
      </c>
      <c r="C81" s="262" t="str">
        <f>IF('INPUT DATA'!Q25="","",'INPUT DATA'!Q25)</f>
        <v>Licmo, Sheeona Pecate</v>
      </c>
      <c r="D81" s="172"/>
      <c r="E81" s="263"/>
      <c r="F81" s="264" t="str">
        <f>IF('INPUT DATA'!T25="","",'INPUT DATA'!T25)</f>
        <v/>
      </c>
      <c r="G81" s="263"/>
      <c r="H81" s="71" t="str">
        <f>IF('INPUT DATA'!S25="","",'INPUT DATA'!S25)</f>
        <v>5/15/2010</v>
      </c>
      <c r="I81" s="54" t="e">
        <f t="shared" ca="1" si="2"/>
        <v>#VALUE!</v>
      </c>
      <c r="J81" s="54" t="s">
        <v>52</v>
      </c>
      <c r="K81" s="55"/>
      <c r="L81" s="140">
        <v>94</v>
      </c>
      <c r="M81" s="140">
        <v>93</v>
      </c>
      <c r="N81" s="140">
        <v>92</v>
      </c>
      <c r="O81" s="140">
        <v>90</v>
      </c>
      <c r="P81" s="140">
        <v>96</v>
      </c>
      <c r="Q81" s="142">
        <v>93</v>
      </c>
      <c r="R81" s="140">
        <v>90</v>
      </c>
      <c r="S81" s="35"/>
      <c r="T81" s="35"/>
      <c r="U81" s="35"/>
      <c r="V81" s="35"/>
      <c r="W81" s="35"/>
      <c r="X81" s="35"/>
      <c r="Y81" s="35"/>
      <c r="Z81" s="35"/>
      <c r="AA81" s="35"/>
      <c r="AB81" s="35"/>
      <c r="AC81" s="35"/>
    </row>
    <row r="82" spans="1:29" ht="15.75" customHeight="1">
      <c r="A82" s="35"/>
      <c r="B82" s="52">
        <v>16</v>
      </c>
      <c r="C82" s="262" t="str">
        <f>IF('INPUT DATA'!Q26="","",'INPUT DATA'!Q26)</f>
        <v>Malabanan, Althea Viel</v>
      </c>
      <c r="D82" s="172"/>
      <c r="E82" s="263"/>
      <c r="F82" s="264" t="str">
        <f>IF('INPUT DATA'!T26="","",'INPUT DATA'!T26)</f>
        <v/>
      </c>
      <c r="G82" s="263"/>
      <c r="H82" s="71" t="str">
        <f>IF('INPUT DATA'!S26="","",'INPUT DATA'!S26)</f>
        <v>11/19/2009</v>
      </c>
      <c r="I82" s="54" t="e">
        <f t="shared" ca="1" si="2"/>
        <v>#VALUE!</v>
      </c>
      <c r="J82" s="54" t="s">
        <v>52</v>
      </c>
      <c r="K82" s="55"/>
      <c r="L82" s="140">
        <v>89</v>
      </c>
      <c r="M82" s="140">
        <v>90</v>
      </c>
      <c r="N82" s="140">
        <v>86</v>
      </c>
      <c r="O82" s="140">
        <v>88</v>
      </c>
      <c r="P82" s="140">
        <v>91</v>
      </c>
      <c r="Q82" s="142">
        <v>92</v>
      </c>
      <c r="R82" s="140">
        <v>86</v>
      </c>
      <c r="S82" s="35"/>
      <c r="T82" s="35"/>
      <c r="U82" s="35"/>
      <c r="V82" s="35"/>
      <c r="W82" s="35"/>
      <c r="X82" s="35"/>
      <c r="Y82" s="35"/>
      <c r="Z82" s="35"/>
      <c r="AA82" s="35"/>
      <c r="AB82" s="35"/>
      <c r="AC82" s="35"/>
    </row>
    <row r="83" spans="1:29" ht="15.75" customHeight="1">
      <c r="A83" s="35"/>
      <c r="B83" s="52">
        <v>17</v>
      </c>
      <c r="C83" s="262" t="str">
        <f>IF('INPUT DATA'!Q27="","",'INPUT DATA'!Q27)</f>
        <v>Malabanan, Donalyn Monleon</v>
      </c>
      <c r="D83" s="172"/>
      <c r="E83" s="263"/>
      <c r="F83" s="264" t="str">
        <f>IF('INPUT DATA'!T27="","",'INPUT DATA'!T27)</f>
        <v/>
      </c>
      <c r="G83" s="263"/>
      <c r="H83" s="71">
        <f>IF('INPUT DATA'!S27="","",'INPUT DATA'!S27)</f>
        <v>40424</v>
      </c>
      <c r="I83" s="54">
        <f t="shared" ca="1" si="2"/>
        <v>16</v>
      </c>
      <c r="J83" s="54" t="s">
        <v>52</v>
      </c>
      <c r="K83" s="55"/>
      <c r="L83" s="140">
        <v>89</v>
      </c>
      <c r="M83" s="140">
        <v>92</v>
      </c>
      <c r="N83" s="140">
        <v>86</v>
      </c>
      <c r="O83" s="140">
        <v>91</v>
      </c>
      <c r="P83" s="140">
        <v>94</v>
      </c>
      <c r="Q83" s="142">
        <v>95</v>
      </c>
      <c r="R83" s="140">
        <v>93</v>
      </c>
      <c r="S83" s="35"/>
      <c r="T83" s="35"/>
      <c r="U83" s="35"/>
      <c r="V83" s="35"/>
      <c r="W83" s="35"/>
      <c r="X83" s="35"/>
      <c r="Y83" s="35"/>
      <c r="Z83" s="35"/>
      <c r="AA83" s="35"/>
      <c r="AB83" s="35"/>
      <c r="AC83" s="35"/>
    </row>
    <row r="84" spans="1:29" ht="15.75" customHeight="1">
      <c r="A84" s="35"/>
      <c r="B84" s="52">
        <v>18</v>
      </c>
      <c r="C84" s="262" t="str">
        <f>IF('INPUT DATA'!Q28="","",'INPUT DATA'!Q28)</f>
        <v>Malabanan, Femme Zyrene Pablo</v>
      </c>
      <c r="D84" s="172"/>
      <c r="E84" s="263"/>
      <c r="F84" s="264" t="str">
        <f>IF('INPUT DATA'!T28="","",'INPUT DATA'!T28)</f>
        <v/>
      </c>
      <c r="G84" s="263"/>
      <c r="H84" s="71" t="str">
        <f>IF('INPUT DATA'!S28="","",'INPUT DATA'!S28)</f>
        <v>11/24/2009</v>
      </c>
      <c r="I84" s="54" t="e">
        <f t="shared" ca="1" si="2"/>
        <v>#VALUE!</v>
      </c>
      <c r="J84" s="54" t="s">
        <v>52</v>
      </c>
      <c r="K84" s="55"/>
      <c r="L84" s="140">
        <v>89</v>
      </c>
      <c r="M84" s="140">
        <v>88</v>
      </c>
      <c r="N84" s="140">
        <v>81</v>
      </c>
      <c r="O84" s="140">
        <v>85</v>
      </c>
      <c r="P84" s="140">
        <v>91</v>
      </c>
      <c r="Q84" s="142">
        <v>84</v>
      </c>
      <c r="R84" s="140"/>
      <c r="S84" s="35"/>
      <c r="T84" s="35"/>
      <c r="U84" s="35"/>
      <c r="V84" s="35"/>
      <c r="W84" s="35"/>
      <c r="X84" s="35"/>
      <c r="Y84" s="35"/>
      <c r="Z84" s="35"/>
      <c r="AA84" s="35"/>
      <c r="AB84" s="35"/>
      <c r="AC84" s="35"/>
    </row>
    <row r="85" spans="1:29" ht="15.75" customHeight="1">
      <c r="A85" s="35"/>
      <c r="B85" s="52">
        <v>19</v>
      </c>
      <c r="C85" s="262" t="str">
        <f>IF('INPUT DATA'!Q29="","",'INPUT DATA'!Q29)</f>
        <v>Marca, Leyra Ann Almacha</v>
      </c>
      <c r="D85" s="172"/>
      <c r="E85" s="263"/>
      <c r="F85" s="264" t="str">
        <f>IF('INPUT DATA'!T29="","",'INPUT DATA'!T29)</f>
        <v/>
      </c>
      <c r="G85" s="263"/>
      <c r="H85" s="71" t="str">
        <f>IF('INPUT DATA'!S29="","",'INPUT DATA'!S29)</f>
        <v>8/23/2010</v>
      </c>
      <c r="I85" s="54" t="e">
        <f t="shared" ca="1" si="2"/>
        <v>#VALUE!</v>
      </c>
      <c r="J85" s="54" t="s">
        <v>52</v>
      </c>
      <c r="K85" s="55"/>
      <c r="L85" s="140">
        <v>85</v>
      </c>
      <c r="M85" s="140">
        <v>86</v>
      </c>
      <c r="N85" s="140">
        <v>81</v>
      </c>
      <c r="O85" s="140">
        <v>82</v>
      </c>
      <c r="P85" s="140">
        <v>90</v>
      </c>
      <c r="Q85" s="142">
        <v>89</v>
      </c>
      <c r="R85" s="140">
        <v>83</v>
      </c>
      <c r="S85" s="35"/>
      <c r="T85" s="35"/>
      <c r="U85" s="35"/>
      <c r="V85" s="35"/>
      <c r="W85" s="35"/>
      <c r="X85" s="35"/>
      <c r="Y85" s="35"/>
      <c r="Z85" s="35"/>
      <c r="AA85" s="35"/>
      <c r="AB85" s="35"/>
      <c r="AC85" s="35"/>
    </row>
    <row r="86" spans="1:29" ht="15.75" customHeight="1">
      <c r="A86" s="35"/>
      <c r="B86" s="57">
        <v>20</v>
      </c>
      <c r="C86" s="262" t="str">
        <f>IF('INPUT DATA'!Q30="","",'INPUT DATA'!Q30)</f>
        <v>Maurillo, Althea Monica Canlobo</v>
      </c>
      <c r="D86" s="172"/>
      <c r="E86" s="263"/>
      <c r="F86" s="264" t="str">
        <f>IF('INPUT DATA'!T30="","",'INPUT DATA'!T30)</f>
        <v/>
      </c>
      <c r="G86" s="263"/>
      <c r="H86" s="71">
        <f>IF('INPUT DATA'!S30="","",'INPUT DATA'!S30)</f>
        <v>40097</v>
      </c>
      <c r="I86" s="54">
        <f t="shared" ca="1" si="2"/>
        <v>17</v>
      </c>
      <c r="J86" s="54" t="s">
        <v>52</v>
      </c>
      <c r="K86" s="58"/>
      <c r="L86" s="143">
        <v>90</v>
      </c>
      <c r="M86" s="143">
        <v>92</v>
      </c>
      <c r="N86" s="143">
        <v>84</v>
      </c>
      <c r="O86" s="143">
        <v>90</v>
      </c>
      <c r="P86" s="143">
        <v>95</v>
      </c>
      <c r="Q86" s="144">
        <v>94</v>
      </c>
      <c r="R86" s="143">
        <v>92</v>
      </c>
      <c r="S86" s="35"/>
      <c r="T86" s="35"/>
      <c r="U86" s="35"/>
      <c r="V86" s="35"/>
      <c r="W86" s="35"/>
      <c r="X86" s="35"/>
      <c r="Y86" s="35"/>
      <c r="Z86" s="35"/>
      <c r="AA86" s="35"/>
      <c r="AB86" s="35"/>
      <c r="AC86" s="35"/>
    </row>
    <row r="87" spans="1:29" ht="15.75" customHeight="1">
      <c r="A87" s="35"/>
      <c r="B87" s="57">
        <v>21</v>
      </c>
      <c r="C87" s="262" t="str">
        <f>IF('INPUT DATA'!Q31="","",'INPUT DATA'!Q31)</f>
        <v>Marasigan, Clarisse Mapili</v>
      </c>
      <c r="D87" s="172"/>
      <c r="E87" s="263"/>
      <c r="F87" s="264" t="str">
        <f>IF('INPUT DATA'!T31="","",'INPUT DATA'!T31)</f>
        <v/>
      </c>
      <c r="G87" s="263"/>
      <c r="H87" s="71">
        <f>IF('INPUT DATA'!S31="","",'INPUT DATA'!S31)</f>
        <v>40457</v>
      </c>
      <c r="I87" s="54">
        <f t="shared" ca="1" si="2"/>
        <v>16</v>
      </c>
      <c r="J87" s="54" t="s">
        <v>52</v>
      </c>
      <c r="K87" s="55"/>
      <c r="L87" s="140">
        <v>89</v>
      </c>
      <c r="M87" s="140">
        <v>92</v>
      </c>
      <c r="N87" s="140">
        <v>90</v>
      </c>
      <c r="O87" s="140">
        <v>90</v>
      </c>
      <c r="P87" s="140">
        <v>93</v>
      </c>
      <c r="Q87" s="142">
        <v>85</v>
      </c>
      <c r="R87" s="140">
        <v>87</v>
      </c>
      <c r="S87" s="35"/>
      <c r="T87" s="35"/>
      <c r="U87" s="35"/>
      <c r="V87" s="35"/>
      <c r="W87" s="35"/>
      <c r="X87" s="35"/>
      <c r="Y87" s="35"/>
      <c r="Z87" s="35"/>
      <c r="AA87" s="35"/>
      <c r="AB87" s="35"/>
      <c r="AC87" s="35"/>
    </row>
    <row r="88" spans="1:29" ht="15.75" customHeight="1">
      <c r="A88" s="35"/>
      <c r="B88" s="57">
        <v>22</v>
      </c>
      <c r="C88" s="262" t="str">
        <f>IF('INPUT DATA'!Q32="","",'INPUT DATA'!Q32)</f>
        <v>Mendoza, Dianne Solis</v>
      </c>
      <c r="D88" s="172"/>
      <c r="E88" s="263"/>
      <c r="F88" s="264" t="str">
        <f>IF('INPUT DATA'!T32="","",'INPUT DATA'!T32)</f>
        <v/>
      </c>
      <c r="G88" s="263"/>
      <c r="H88" s="71">
        <f>IF('INPUT DATA'!S32="","",'INPUT DATA'!S32)</f>
        <v>39976</v>
      </c>
      <c r="I88" s="54">
        <f t="shared" ca="1" si="2"/>
        <v>17</v>
      </c>
      <c r="J88" s="54" t="s">
        <v>52</v>
      </c>
      <c r="K88" s="55"/>
      <c r="L88" s="140">
        <v>94</v>
      </c>
      <c r="M88" s="140">
        <v>92</v>
      </c>
      <c r="N88" s="140">
        <v>93</v>
      </c>
      <c r="O88" s="140">
        <v>91</v>
      </c>
      <c r="P88" s="140">
        <v>93</v>
      </c>
      <c r="Q88" s="142">
        <v>94</v>
      </c>
      <c r="R88" s="140">
        <v>93</v>
      </c>
      <c r="S88" s="35"/>
      <c r="T88" s="35"/>
      <c r="U88" s="35"/>
      <c r="V88" s="35"/>
      <c r="W88" s="35"/>
      <c r="X88" s="35"/>
      <c r="Y88" s="35"/>
      <c r="Z88" s="35"/>
      <c r="AA88" s="35"/>
      <c r="AB88" s="35"/>
      <c r="AC88" s="35"/>
    </row>
    <row r="89" spans="1:29" ht="15.75" customHeight="1">
      <c r="A89" s="35"/>
      <c r="B89" s="57">
        <v>23</v>
      </c>
      <c r="C89" s="262" t="str">
        <f>IF('INPUT DATA'!Q33="","",'INPUT DATA'!Q33)</f>
        <v>Mission, Ruzhel Ann Llanos</v>
      </c>
      <c r="D89" s="172"/>
      <c r="E89" s="263"/>
      <c r="F89" s="264" t="str">
        <f>IF('INPUT DATA'!T33="","",'INPUT DATA'!T33)</f>
        <v/>
      </c>
      <c r="G89" s="263"/>
      <c r="H89" s="71" t="str">
        <f>IF('INPUT DATA'!S33="","",'INPUT DATA'!S33)</f>
        <v>05/13/2009</v>
      </c>
      <c r="I89" s="54" t="e">
        <f t="shared" ca="1" si="2"/>
        <v>#VALUE!</v>
      </c>
      <c r="J89" s="54" t="s">
        <v>52</v>
      </c>
      <c r="K89" s="55"/>
      <c r="L89" s="140">
        <v>88</v>
      </c>
      <c r="M89" s="140">
        <v>92</v>
      </c>
      <c r="N89" s="140">
        <v>84</v>
      </c>
      <c r="O89" s="140">
        <v>84</v>
      </c>
      <c r="P89" s="140">
        <v>91</v>
      </c>
      <c r="Q89" s="142">
        <v>91</v>
      </c>
      <c r="R89" s="140">
        <v>88</v>
      </c>
      <c r="S89" s="35"/>
      <c r="T89" s="35"/>
      <c r="U89" s="35"/>
      <c r="V89" s="35"/>
      <c r="W89" s="35"/>
      <c r="X89" s="35"/>
      <c r="Y89" s="35"/>
      <c r="Z89" s="35"/>
      <c r="AA89" s="35"/>
      <c r="AB89" s="35"/>
      <c r="AC89" s="35"/>
    </row>
    <row r="90" spans="1:29" ht="15.75" customHeight="1">
      <c r="A90" s="35"/>
      <c r="B90" s="57">
        <v>24</v>
      </c>
      <c r="C90" s="262" t="str">
        <f>IF('INPUT DATA'!Q34="","",'INPUT DATA'!Q34)</f>
        <v>Opo, Krystal Mae Bacatan</v>
      </c>
      <c r="D90" s="172"/>
      <c r="E90" s="263"/>
      <c r="F90" s="264" t="str">
        <f>IF('INPUT DATA'!T34="","",'INPUT DATA'!T34)</f>
        <v/>
      </c>
      <c r="G90" s="263"/>
      <c r="H90" s="71" t="str">
        <f>IF('INPUT DATA'!S34="","",'INPUT DATA'!S34)</f>
        <v>7/29/2010</v>
      </c>
      <c r="I90" s="54" t="e">
        <f t="shared" ca="1" si="2"/>
        <v>#VALUE!</v>
      </c>
      <c r="J90" s="54" t="s">
        <v>52</v>
      </c>
      <c r="K90" s="55"/>
      <c r="L90" s="140">
        <v>94</v>
      </c>
      <c r="M90" s="140">
        <v>90</v>
      </c>
      <c r="N90" s="140">
        <v>88</v>
      </c>
      <c r="O90" s="140">
        <v>94</v>
      </c>
      <c r="P90" s="140">
        <v>94</v>
      </c>
      <c r="Q90" s="142">
        <v>91</v>
      </c>
      <c r="R90" s="140">
        <v>88</v>
      </c>
      <c r="S90" s="35"/>
      <c r="T90" s="35"/>
      <c r="U90" s="35"/>
      <c r="V90" s="35"/>
      <c r="W90" s="35"/>
      <c r="X90" s="35"/>
      <c r="Y90" s="35"/>
      <c r="Z90" s="35"/>
      <c r="AA90" s="35"/>
      <c r="AB90" s="35"/>
      <c r="AC90" s="35"/>
    </row>
    <row r="91" spans="1:29" ht="15.75" customHeight="1">
      <c r="A91" s="35"/>
      <c r="B91" s="57">
        <v>25</v>
      </c>
      <c r="C91" s="262" t="str">
        <f>IF('INPUT DATA'!Q35="","",'INPUT DATA'!Q35)</f>
        <v>Orlanes, Janea Daphnie Cacao</v>
      </c>
      <c r="D91" s="172"/>
      <c r="E91" s="263"/>
      <c r="F91" s="264" t="str">
        <f>IF('INPUT DATA'!T35="","",'INPUT DATA'!T35)</f>
        <v/>
      </c>
      <c r="G91" s="263"/>
      <c r="H91" s="71">
        <f>IF('INPUT DATA'!S35="","",'INPUT DATA'!S35)</f>
        <v>39884</v>
      </c>
      <c r="I91" s="54">
        <f t="shared" ca="1" si="2"/>
        <v>17</v>
      </c>
      <c r="J91" s="54" t="s">
        <v>52</v>
      </c>
      <c r="K91" s="55"/>
      <c r="L91" s="140">
        <v>93</v>
      </c>
      <c r="M91" s="140">
        <v>91</v>
      </c>
      <c r="N91" s="140">
        <v>92</v>
      </c>
      <c r="O91" s="140">
        <v>90</v>
      </c>
      <c r="P91" s="140">
        <v>93</v>
      </c>
      <c r="Q91" s="142">
        <v>95</v>
      </c>
      <c r="R91" s="140">
        <v>94</v>
      </c>
      <c r="S91" s="35"/>
      <c r="T91" s="35"/>
      <c r="U91" s="35"/>
      <c r="V91" s="35"/>
      <c r="W91" s="35"/>
      <c r="X91" s="35"/>
      <c r="Y91" s="35"/>
      <c r="Z91" s="35"/>
      <c r="AA91" s="35"/>
      <c r="AB91" s="35"/>
      <c r="AC91" s="35"/>
    </row>
    <row r="92" spans="1:29" ht="15.75" customHeight="1">
      <c r="A92" s="35"/>
      <c r="B92" s="57">
        <v>26</v>
      </c>
      <c r="C92" s="262" t="str">
        <f>IF('INPUT DATA'!Q36="","",'INPUT DATA'!Q36)</f>
        <v>Salagantin, Jahanara Mendoza</v>
      </c>
      <c r="D92" s="172"/>
      <c r="E92" s="263"/>
      <c r="F92" s="264" t="str">
        <f>IF('INPUT DATA'!T36="","",'INPUT DATA'!T36)</f>
        <v/>
      </c>
      <c r="G92" s="263"/>
      <c r="H92" s="71" t="str">
        <f>IF('INPUT DATA'!S36="","",'INPUT DATA'!S36)</f>
        <v>10/13/2010</v>
      </c>
      <c r="I92" s="54" t="e">
        <f t="shared" ca="1" si="2"/>
        <v>#VALUE!</v>
      </c>
      <c r="J92" s="54" t="s">
        <v>52</v>
      </c>
      <c r="K92" s="55"/>
      <c r="L92" s="140">
        <v>88</v>
      </c>
      <c r="M92" s="140">
        <v>91</v>
      </c>
      <c r="N92" s="140">
        <v>81</v>
      </c>
      <c r="O92" s="140">
        <v>84</v>
      </c>
      <c r="P92" s="140">
        <v>89</v>
      </c>
      <c r="Q92" s="142">
        <v>88</v>
      </c>
      <c r="R92" s="140">
        <v>86</v>
      </c>
      <c r="S92" s="35"/>
      <c r="T92" s="35"/>
      <c r="U92" s="35"/>
      <c r="V92" s="35"/>
      <c r="W92" s="35"/>
      <c r="X92" s="35"/>
      <c r="Y92" s="35"/>
      <c r="Z92" s="35"/>
      <c r="AA92" s="35"/>
      <c r="AB92" s="35"/>
      <c r="AC92" s="35"/>
    </row>
    <row r="93" spans="1:29" ht="15.75" customHeight="1">
      <c r="A93" s="35"/>
      <c r="B93" s="57">
        <v>27</v>
      </c>
      <c r="C93" s="262" t="str">
        <f>IF('INPUT DATA'!Q37="","",'INPUT DATA'!Q37)</f>
        <v>Sta. Isabel, Mary Antonette De Sagun</v>
      </c>
      <c r="D93" s="172"/>
      <c r="E93" s="263"/>
      <c r="F93" s="264" t="str">
        <f>IF('INPUT DATA'!T37="","",'INPUT DATA'!T37)</f>
        <v/>
      </c>
      <c r="G93" s="263"/>
      <c r="H93" s="71">
        <f>IF('INPUT DATA'!S37="","",'INPUT DATA'!S37)</f>
        <v>40339</v>
      </c>
      <c r="I93" s="54">
        <f t="shared" ca="1" si="2"/>
        <v>16</v>
      </c>
      <c r="J93" s="54" t="s">
        <v>52</v>
      </c>
      <c r="K93" s="55"/>
      <c r="L93" s="140">
        <v>87</v>
      </c>
      <c r="M93" s="140">
        <v>90</v>
      </c>
      <c r="N93" s="140">
        <v>83</v>
      </c>
      <c r="O93" s="140">
        <v>86</v>
      </c>
      <c r="P93" s="140">
        <v>92</v>
      </c>
      <c r="Q93" s="142">
        <v>91</v>
      </c>
      <c r="R93" s="140">
        <v>87</v>
      </c>
      <c r="S93" s="35"/>
      <c r="T93" s="35"/>
      <c r="U93" s="35"/>
      <c r="V93" s="35"/>
      <c r="W93" s="35"/>
      <c r="X93" s="35"/>
      <c r="Y93" s="35"/>
      <c r="Z93" s="35"/>
      <c r="AA93" s="35"/>
      <c r="AB93" s="35"/>
      <c r="AC93" s="35"/>
    </row>
    <row r="94" spans="1:29" ht="15.75" customHeight="1">
      <c r="A94" s="35"/>
      <c r="B94" s="57">
        <v>28</v>
      </c>
      <c r="C94" s="262" t="str">
        <f>IF('INPUT DATA'!Q38="","",'INPUT DATA'!Q38)</f>
        <v>Suarez, Elijah Quirsten Miranda</v>
      </c>
      <c r="D94" s="172"/>
      <c r="E94" s="263"/>
      <c r="F94" s="264" t="str">
        <f>IF('INPUT DATA'!T38="","",'INPUT DATA'!T38)</f>
        <v/>
      </c>
      <c r="G94" s="263"/>
      <c r="H94" s="71">
        <f>IF('INPUT DATA'!S38="","",'INPUT DATA'!S38)</f>
        <v>40430</v>
      </c>
      <c r="I94" s="54">
        <f t="shared" ca="1" si="2"/>
        <v>16</v>
      </c>
      <c r="J94" s="54" t="s">
        <v>52</v>
      </c>
      <c r="K94" s="55"/>
      <c r="L94" s="140">
        <v>88</v>
      </c>
      <c r="M94" s="140">
        <v>90</v>
      </c>
      <c r="N94" s="140">
        <v>83</v>
      </c>
      <c r="O94" s="140">
        <v>82</v>
      </c>
      <c r="P94" s="140">
        <v>91</v>
      </c>
      <c r="Q94" s="142">
        <v>90</v>
      </c>
      <c r="R94" s="140">
        <v>85</v>
      </c>
      <c r="S94" s="35"/>
      <c r="T94" s="35"/>
      <c r="U94" s="35"/>
      <c r="V94" s="35"/>
      <c r="W94" s="35"/>
      <c r="X94" s="35"/>
      <c r="Y94" s="35"/>
      <c r="Z94" s="35"/>
      <c r="AA94" s="35"/>
      <c r="AB94" s="35"/>
      <c r="AC94" s="35"/>
    </row>
    <row r="95" spans="1:29" ht="15.75" customHeight="1">
      <c r="A95" s="35"/>
      <c r="B95" s="57">
        <v>29</v>
      </c>
      <c r="C95" s="262" t="str">
        <f>IF('INPUT DATA'!Q39="","",'INPUT DATA'!Q39)</f>
        <v>Suaybaguio, Mika Jean Blaza</v>
      </c>
      <c r="D95" s="172"/>
      <c r="E95" s="263"/>
      <c r="F95" s="264" t="str">
        <f>IF('INPUT DATA'!T39="","",'INPUT DATA'!T39)</f>
        <v/>
      </c>
      <c r="G95" s="263"/>
      <c r="H95" s="71" t="str">
        <f>IF('INPUT DATA'!S39="","",'INPUT DATA'!S39)</f>
        <v>10/31/2010</v>
      </c>
      <c r="I95" s="54" t="e">
        <f t="shared" ca="1" si="2"/>
        <v>#VALUE!</v>
      </c>
      <c r="J95" s="54" t="s">
        <v>52</v>
      </c>
      <c r="K95" s="55"/>
      <c r="L95" s="140">
        <v>94</v>
      </c>
      <c r="M95" s="140">
        <v>91</v>
      </c>
      <c r="N95" s="140">
        <v>88</v>
      </c>
      <c r="O95" s="140">
        <v>86</v>
      </c>
      <c r="P95" s="140">
        <v>96</v>
      </c>
      <c r="Q95" s="142">
        <v>92</v>
      </c>
      <c r="R95" s="140">
        <v>92</v>
      </c>
      <c r="S95" s="35"/>
      <c r="T95" s="35"/>
      <c r="U95" s="35"/>
      <c r="V95" s="35"/>
      <c r="W95" s="35"/>
      <c r="X95" s="35"/>
      <c r="Y95" s="35"/>
      <c r="Z95" s="35"/>
      <c r="AA95" s="35"/>
      <c r="AB95" s="35"/>
      <c r="AC95" s="35"/>
    </row>
    <row r="96" spans="1:29" ht="15.75" customHeight="1">
      <c r="A96" s="35"/>
      <c r="B96" s="57">
        <v>30</v>
      </c>
      <c r="C96" s="262" t="str">
        <f>IF('INPUT DATA'!Q40="","",'INPUT DATA'!Q40)</f>
        <v>Villa, Danica Polinio</v>
      </c>
      <c r="D96" s="172"/>
      <c r="E96" s="263"/>
      <c r="F96" s="264" t="str">
        <f>IF('INPUT DATA'!T40="","",'INPUT DATA'!T40)</f>
        <v/>
      </c>
      <c r="G96" s="263"/>
      <c r="H96" s="71">
        <f>IF('INPUT DATA'!S40="","",'INPUT DATA'!S40)</f>
        <v>40246</v>
      </c>
      <c r="I96" s="54">
        <f t="shared" ca="1" si="2"/>
        <v>16</v>
      </c>
      <c r="J96" s="54" t="s">
        <v>52</v>
      </c>
      <c r="K96" s="55"/>
      <c r="L96" s="140">
        <v>87</v>
      </c>
      <c r="M96" s="140">
        <v>90</v>
      </c>
      <c r="N96" s="140">
        <v>90</v>
      </c>
      <c r="O96" s="140">
        <v>82</v>
      </c>
      <c r="P96" s="140">
        <v>90</v>
      </c>
      <c r="Q96" s="142">
        <v>88</v>
      </c>
      <c r="R96" s="140">
        <v>86</v>
      </c>
      <c r="S96" s="35"/>
      <c r="T96" s="35"/>
      <c r="U96" s="35"/>
      <c r="V96" s="35"/>
      <c r="W96" s="35"/>
      <c r="X96" s="35"/>
      <c r="Y96" s="35"/>
      <c r="Z96" s="35"/>
      <c r="AA96" s="35"/>
      <c r="AB96" s="35"/>
      <c r="AC96" s="35"/>
    </row>
    <row r="97" spans="1:29" ht="15.75" hidden="1" customHeight="1">
      <c r="A97" s="35"/>
      <c r="B97" s="57">
        <v>31</v>
      </c>
      <c r="C97" s="262" t="str">
        <f>IF('INPUT DATA'!Q41="","",'INPUT DATA'!Q41)</f>
        <v/>
      </c>
      <c r="D97" s="172"/>
      <c r="E97" s="263"/>
      <c r="F97" s="264" t="str">
        <f>IF('INPUT DATA'!T41="","",'INPUT DATA'!T41)</f>
        <v/>
      </c>
      <c r="G97" s="263"/>
      <c r="H97" s="71" t="str">
        <f>IF('INPUT DATA'!S41="","",'INPUT DATA'!S41)</f>
        <v/>
      </c>
      <c r="I97" s="54" t="str">
        <f t="shared" ca="1" si="2"/>
        <v/>
      </c>
      <c r="J97" s="54"/>
      <c r="K97" s="55"/>
      <c r="L97" s="56"/>
      <c r="M97" s="56"/>
      <c r="N97" s="56"/>
      <c r="O97" s="56"/>
      <c r="P97" s="56"/>
      <c r="Q97" s="72"/>
      <c r="R97" s="56"/>
      <c r="S97" s="35"/>
      <c r="T97" s="35"/>
      <c r="U97" s="35"/>
      <c r="V97" s="35"/>
      <c r="W97" s="35"/>
      <c r="X97" s="35"/>
      <c r="Y97" s="35"/>
      <c r="Z97" s="35"/>
      <c r="AA97" s="35"/>
      <c r="AB97" s="35"/>
      <c r="AC97" s="35"/>
    </row>
    <row r="98" spans="1:29" ht="15.75" hidden="1" customHeight="1">
      <c r="A98" s="35"/>
      <c r="B98" s="57">
        <v>32</v>
      </c>
      <c r="C98" s="262" t="str">
        <f>IF('INPUT DATA'!Q42="","",'INPUT DATA'!Q42)</f>
        <v/>
      </c>
      <c r="D98" s="172"/>
      <c r="E98" s="263"/>
      <c r="F98" s="264" t="str">
        <f>IF('INPUT DATA'!T42="","",'INPUT DATA'!T42)</f>
        <v/>
      </c>
      <c r="G98" s="263"/>
      <c r="H98" s="71" t="str">
        <f>IF('INPUT DATA'!S42="","",'INPUT DATA'!S42)</f>
        <v/>
      </c>
      <c r="I98" s="54" t="str">
        <f t="shared" ca="1" si="2"/>
        <v/>
      </c>
      <c r="J98" s="54"/>
      <c r="K98" s="55"/>
      <c r="L98" s="56"/>
      <c r="M98" s="56"/>
      <c r="N98" s="56"/>
      <c r="O98" s="56"/>
      <c r="P98" s="56"/>
      <c r="Q98" s="72"/>
      <c r="R98" s="56"/>
      <c r="S98" s="35"/>
      <c r="T98" s="35"/>
      <c r="U98" s="35"/>
      <c r="V98" s="35"/>
      <c r="W98" s="35"/>
      <c r="X98" s="35"/>
      <c r="Y98" s="35"/>
      <c r="Z98" s="35"/>
      <c r="AA98" s="35"/>
      <c r="AB98" s="35"/>
      <c r="AC98" s="35"/>
    </row>
    <row r="99" spans="1:29" ht="15.75" hidden="1" customHeight="1">
      <c r="A99" s="35"/>
      <c r="B99" s="57">
        <v>33</v>
      </c>
      <c r="C99" s="262" t="str">
        <f>IF('INPUT DATA'!Q43="","",'INPUT DATA'!Q43)</f>
        <v/>
      </c>
      <c r="D99" s="172"/>
      <c r="E99" s="263"/>
      <c r="F99" s="264" t="str">
        <f>IF('INPUT DATA'!T43="","",'INPUT DATA'!T43)</f>
        <v/>
      </c>
      <c r="G99" s="263"/>
      <c r="H99" s="71" t="str">
        <f>IF('INPUT DATA'!S43="","",'INPUT DATA'!S43)</f>
        <v/>
      </c>
      <c r="I99" s="54" t="str">
        <f t="shared" ca="1" si="2"/>
        <v/>
      </c>
      <c r="J99" s="54"/>
      <c r="K99" s="55"/>
      <c r="L99" s="56"/>
      <c r="M99" s="56"/>
      <c r="N99" s="56"/>
      <c r="O99" s="56"/>
      <c r="P99" s="56"/>
      <c r="Q99" s="72"/>
      <c r="R99" s="56"/>
      <c r="S99" s="35"/>
      <c r="T99" s="35"/>
      <c r="U99" s="35"/>
      <c r="V99" s="35"/>
      <c r="W99" s="35"/>
      <c r="X99" s="35"/>
      <c r="Y99" s="35"/>
      <c r="Z99" s="35"/>
      <c r="AA99" s="35"/>
      <c r="AB99" s="35"/>
      <c r="AC99" s="35"/>
    </row>
    <row r="100" spans="1:29" ht="15.75" hidden="1" customHeight="1">
      <c r="A100" s="35"/>
      <c r="B100" s="57">
        <v>34</v>
      </c>
      <c r="C100" s="262" t="str">
        <f>IF('INPUT DATA'!Q44="","",'INPUT DATA'!Q44)</f>
        <v/>
      </c>
      <c r="D100" s="172"/>
      <c r="E100" s="263"/>
      <c r="F100" s="264" t="str">
        <f>IF('INPUT DATA'!T44="","",'INPUT DATA'!T44)</f>
        <v/>
      </c>
      <c r="G100" s="263"/>
      <c r="H100" s="71" t="str">
        <f>IF('INPUT DATA'!S44="","",'INPUT DATA'!S44)</f>
        <v/>
      </c>
      <c r="I100" s="54" t="str">
        <f t="shared" ca="1" si="2"/>
        <v/>
      </c>
      <c r="J100" s="54"/>
      <c r="K100" s="55"/>
      <c r="L100" s="56"/>
      <c r="M100" s="56"/>
      <c r="N100" s="56"/>
      <c r="O100" s="56"/>
      <c r="P100" s="56"/>
      <c r="Q100" s="72"/>
      <c r="R100" s="56"/>
      <c r="S100" s="35"/>
      <c r="T100" s="35"/>
      <c r="U100" s="35"/>
      <c r="V100" s="35"/>
      <c r="W100" s="35"/>
      <c r="X100" s="35"/>
      <c r="Y100" s="35"/>
      <c r="Z100" s="35"/>
      <c r="AA100" s="35"/>
      <c r="AB100" s="35"/>
      <c r="AC100" s="35"/>
    </row>
    <row r="101" spans="1:29" ht="15.75" hidden="1" customHeight="1">
      <c r="A101" s="35"/>
      <c r="B101" s="57">
        <v>35</v>
      </c>
      <c r="C101" s="262" t="str">
        <f>IF('INPUT DATA'!Q45="","",'INPUT DATA'!Q45)</f>
        <v/>
      </c>
      <c r="D101" s="172"/>
      <c r="E101" s="263"/>
      <c r="F101" s="264" t="str">
        <f>IF('INPUT DATA'!T45="","",'INPUT DATA'!T45)</f>
        <v/>
      </c>
      <c r="G101" s="263"/>
      <c r="H101" s="71" t="str">
        <f>IF('INPUT DATA'!S45="","",'INPUT DATA'!S45)</f>
        <v/>
      </c>
      <c r="I101" s="54" t="str">
        <f t="shared" ca="1" si="2"/>
        <v/>
      </c>
      <c r="J101" s="54"/>
      <c r="K101" s="55"/>
      <c r="L101" s="56"/>
      <c r="M101" s="56"/>
      <c r="N101" s="56"/>
      <c r="O101" s="56"/>
      <c r="P101" s="56"/>
      <c r="Q101" s="72"/>
      <c r="R101" s="56"/>
      <c r="S101" s="35"/>
      <c r="T101" s="35"/>
      <c r="U101" s="35"/>
      <c r="V101" s="35"/>
      <c r="W101" s="35"/>
      <c r="X101" s="35"/>
      <c r="Y101" s="35"/>
      <c r="Z101" s="35"/>
      <c r="AA101" s="35"/>
      <c r="AB101" s="35"/>
      <c r="AC101" s="35"/>
    </row>
    <row r="102" spans="1:29" ht="15.75" hidden="1" customHeight="1">
      <c r="A102" s="35"/>
      <c r="B102" s="57">
        <v>36</v>
      </c>
      <c r="C102" s="262" t="str">
        <f>IF('INPUT DATA'!Q46="","",'INPUT DATA'!Q46)</f>
        <v/>
      </c>
      <c r="D102" s="172"/>
      <c r="E102" s="263"/>
      <c r="F102" s="264" t="str">
        <f>IF('INPUT DATA'!T46="","",'INPUT DATA'!T46)</f>
        <v/>
      </c>
      <c r="G102" s="263"/>
      <c r="H102" s="71" t="str">
        <f>IF('INPUT DATA'!S46="","",'INPUT DATA'!S46)</f>
        <v/>
      </c>
      <c r="I102" s="54" t="str">
        <f t="shared" ca="1" si="2"/>
        <v/>
      </c>
      <c r="J102" s="54"/>
      <c r="K102" s="55"/>
      <c r="L102" s="56"/>
      <c r="M102" s="56"/>
      <c r="N102" s="56"/>
      <c r="O102" s="56"/>
      <c r="P102" s="56"/>
      <c r="Q102" s="72"/>
      <c r="R102" s="56"/>
      <c r="S102" s="35"/>
      <c r="T102" s="35"/>
      <c r="U102" s="35"/>
      <c r="V102" s="35"/>
      <c r="W102" s="35"/>
      <c r="X102" s="35"/>
      <c r="Y102" s="35"/>
      <c r="Z102" s="35"/>
      <c r="AA102" s="35"/>
      <c r="AB102" s="35"/>
      <c r="AC102" s="35"/>
    </row>
    <row r="103" spans="1:29" ht="15.75" hidden="1" customHeight="1">
      <c r="A103" s="35"/>
      <c r="B103" s="57">
        <v>37</v>
      </c>
      <c r="C103" s="262" t="str">
        <f>IF('INPUT DATA'!Q47="","",'INPUT DATA'!Q47)</f>
        <v/>
      </c>
      <c r="D103" s="172"/>
      <c r="E103" s="263"/>
      <c r="F103" s="264" t="str">
        <f>IF('INPUT DATA'!T47="","",'INPUT DATA'!T47)</f>
        <v/>
      </c>
      <c r="G103" s="263"/>
      <c r="H103" s="71" t="str">
        <f>IF('INPUT DATA'!S47="","",'INPUT DATA'!S47)</f>
        <v/>
      </c>
      <c r="I103" s="54" t="str">
        <f t="shared" ca="1" si="2"/>
        <v/>
      </c>
      <c r="J103" s="54"/>
      <c r="K103" s="55"/>
      <c r="L103" s="56"/>
      <c r="M103" s="56"/>
      <c r="N103" s="56"/>
      <c r="O103" s="56"/>
      <c r="P103" s="56"/>
      <c r="Q103" s="72"/>
      <c r="R103" s="56"/>
      <c r="S103" s="35"/>
      <c r="T103" s="35"/>
      <c r="U103" s="35"/>
      <c r="V103" s="35"/>
      <c r="W103" s="35"/>
      <c r="X103" s="35"/>
      <c r="Y103" s="35"/>
      <c r="Z103" s="35"/>
      <c r="AA103" s="35"/>
      <c r="AB103" s="35"/>
      <c r="AC103" s="35"/>
    </row>
    <row r="104" spans="1:29" ht="15.75" hidden="1" customHeight="1">
      <c r="A104" s="35"/>
      <c r="B104" s="57">
        <v>38</v>
      </c>
      <c r="C104" s="262" t="str">
        <f>IF('INPUT DATA'!Q48="","",'INPUT DATA'!Q48)</f>
        <v/>
      </c>
      <c r="D104" s="172"/>
      <c r="E104" s="263"/>
      <c r="F104" s="264" t="str">
        <f>IF('INPUT DATA'!T48="","",'INPUT DATA'!T48)</f>
        <v/>
      </c>
      <c r="G104" s="263"/>
      <c r="H104" s="71" t="str">
        <f>IF('INPUT DATA'!S48="","",'INPUT DATA'!S48)</f>
        <v/>
      </c>
      <c r="I104" s="54" t="str">
        <f t="shared" ca="1" si="2"/>
        <v/>
      </c>
      <c r="J104" s="54"/>
      <c r="K104" s="55"/>
      <c r="L104" s="56"/>
      <c r="M104" s="56"/>
      <c r="N104" s="56"/>
      <c r="O104" s="56"/>
      <c r="P104" s="56"/>
      <c r="Q104" s="72"/>
      <c r="R104" s="56"/>
      <c r="S104" s="35"/>
      <c r="T104" s="35"/>
      <c r="U104" s="35"/>
      <c r="V104" s="35"/>
      <c r="W104" s="35"/>
      <c r="X104" s="35"/>
      <c r="Y104" s="35"/>
      <c r="Z104" s="35"/>
      <c r="AA104" s="35"/>
      <c r="AB104" s="35"/>
      <c r="AC104" s="35"/>
    </row>
    <row r="105" spans="1:29" ht="15.75" hidden="1" customHeight="1">
      <c r="A105" s="35"/>
      <c r="B105" s="57">
        <v>39</v>
      </c>
      <c r="C105" s="262" t="str">
        <f>IF('INPUT DATA'!Q49="","",'INPUT DATA'!Q49)</f>
        <v/>
      </c>
      <c r="D105" s="172"/>
      <c r="E105" s="263"/>
      <c r="F105" s="264" t="str">
        <f>IF('INPUT DATA'!T49="","",'INPUT DATA'!T49)</f>
        <v/>
      </c>
      <c r="G105" s="263"/>
      <c r="H105" s="71" t="str">
        <f>IF('INPUT DATA'!S49="","",'INPUT DATA'!S49)</f>
        <v/>
      </c>
      <c r="I105" s="54" t="str">
        <f t="shared" ca="1" si="2"/>
        <v/>
      </c>
      <c r="J105" s="54"/>
      <c r="K105" s="55"/>
      <c r="L105" s="56"/>
      <c r="M105" s="56"/>
      <c r="N105" s="56"/>
      <c r="O105" s="56"/>
      <c r="P105" s="56"/>
      <c r="Q105" s="72"/>
      <c r="R105" s="56"/>
      <c r="S105" s="35"/>
      <c r="T105" s="35"/>
      <c r="U105" s="35"/>
      <c r="V105" s="35"/>
      <c r="W105" s="35"/>
      <c r="X105" s="35"/>
      <c r="Y105" s="35"/>
      <c r="Z105" s="35"/>
      <c r="AA105" s="35"/>
      <c r="AB105" s="35"/>
      <c r="AC105" s="35"/>
    </row>
    <row r="106" spans="1:29" ht="15.75" hidden="1" customHeight="1">
      <c r="A106" s="35"/>
      <c r="B106" s="57">
        <v>40</v>
      </c>
      <c r="C106" s="262" t="str">
        <f>IF('INPUT DATA'!Q50="","",'INPUT DATA'!Q50)</f>
        <v/>
      </c>
      <c r="D106" s="172"/>
      <c r="E106" s="263"/>
      <c r="F106" s="264" t="str">
        <f>IF('INPUT DATA'!T50="","",'INPUT DATA'!T50)</f>
        <v/>
      </c>
      <c r="G106" s="263"/>
      <c r="H106" s="71" t="str">
        <f>IF('INPUT DATA'!S50="","",'INPUT DATA'!S50)</f>
        <v/>
      </c>
      <c r="I106" s="54" t="str">
        <f t="shared" ca="1" si="2"/>
        <v/>
      </c>
      <c r="J106" s="54"/>
      <c r="K106" s="55"/>
      <c r="L106" s="56"/>
      <c r="M106" s="56"/>
      <c r="N106" s="56"/>
      <c r="O106" s="56"/>
      <c r="P106" s="56"/>
      <c r="Q106" s="72"/>
      <c r="R106" s="56"/>
      <c r="S106" s="35"/>
      <c r="T106" s="35"/>
      <c r="U106" s="35"/>
      <c r="V106" s="35"/>
      <c r="W106" s="35"/>
      <c r="X106" s="35"/>
      <c r="Y106" s="35"/>
      <c r="Z106" s="35"/>
      <c r="AA106" s="35"/>
      <c r="AB106" s="35"/>
      <c r="AC106" s="35"/>
    </row>
    <row r="107" spans="1:29" ht="15.75" hidden="1" customHeight="1">
      <c r="A107" s="35"/>
      <c r="B107" s="57">
        <v>41</v>
      </c>
      <c r="C107" s="262" t="str">
        <f>IF('INPUT DATA'!Q51="","",'INPUT DATA'!Q51)</f>
        <v/>
      </c>
      <c r="D107" s="172"/>
      <c r="E107" s="263"/>
      <c r="F107" s="264" t="str">
        <f>IF('INPUT DATA'!T51="","",'INPUT DATA'!T51)</f>
        <v/>
      </c>
      <c r="G107" s="263"/>
      <c r="H107" s="71" t="str">
        <f>IF('INPUT DATA'!S51="","",'INPUT DATA'!S51)</f>
        <v/>
      </c>
      <c r="I107" s="54" t="str">
        <f t="shared" ca="1" si="2"/>
        <v/>
      </c>
      <c r="J107" s="54"/>
      <c r="K107" s="55"/>
      <c r="L107" s="56"/>
      <c r="M107" s="56"/>
      <c r="N107" s="56"/>
      <c r="O107" s="56"/>
      <c r="P107" s="56"/>
      <c r="Q107" s="72"/>
      <c r="R107" s="56"/>
      <c r="S107" s="35"/>
      <c r="T107" s="35"/>
      <c r="U107" s="35"/>
      <c r="V107" s="35"/>
      <c r="W107" s="35"/>
      <c r="X107" s="35"/>
      <c r="Y107" s="35"/>
      <c r="Z107" s="35"/>
      <c r="AA107" s="35"/>
      <c r="AB107" s="35"/>
      <c r="AC107" s="35"/>
    </row>
    <row r="108" spans="1:29" ht="15.75" hidden="1" customHeight="1">
      <c r="A108" s="35"/>
      <c r="B108" s="57">
        <v>42</v>
      </c>
      <c r="C108" s="262" t="str">
        <f>IF('INPUT DATA'!Q52="","",'INPUT DATA'!Q52)</f>
        <v/>
      </c>
      <c r="D108" s="172"/>
      <c r="E108" s="263"/>
      <c r="F108" s="264" t="str">
        <f>IF('INPUT DATA'!T52="","",'INPUT DATA'!T52)</f>
        <v/>
      </c>
      <c r="G108" s="263"/>
      <c r="H108" s="71" t="str">
        <f>IF('INPUT DATA'!S52="","",'INPUT DATA'!S52)</f>
        <v/>
      </c>
      <c r="I108" s="54" t="str">
        <f t="shared" ca="1" si="2"/>
        <v/>
      </c>
      <c r="J108" s="54"/>
      <c r="K108" s="55"/>
      <c r="L108" s="56"/>
      <c r="M108" s="56"/>
      <c r="N108" s="56"/>
      <c r="O108" s="56"/>
      <c r="P108" s="56"/>
      <c r="Q108" s="72"/>
      <c r="R108" s="56"/>
      <c r="S108" s="35"/>
      <c r="T108" s="35"/>
      <c r="U108" s="35"/>
      <c r="V108" s="35"/>
      <c r="W108" s="35"/>
      <c r="X108" s="35"/>
      <c r="Y108" s="35"/>
      <c r="Z108" s="35"/>
      <c r="AA108" s="35"/>
      <c r="AB108" s="35"/>
      <c r="AC108" s="35"/>
    </row>
    <row r="109" spans="1:29" ht="15.75" hidden="1" customHeight="1">
      <c r="A109" s="35"/>
      <c r="B109" s="57">
        <v>43</v>
      </c>
      <c r="C109" s="262" t="str">
        <f>IF('INPUT DATA'!Q53="","",'INPUT DATA'!Q53)</f>
        <v/>
      </c>
      <c r="D109" s="172"/>
      <c r="E109" s="263"/>
      <c r="F109" s="264" t="str">
        <f>IF('INPUT DATA'!T53="","",'INPUT DATA'!T53)</f>
        <v/>
      </c>
      <c r="G109" s="263"/>
      <c r="H109" s="71" t="str">
        <f>IF('INPUT DATA'!S53="","",'INPUT DATA'!S53)</f>
        <v/>
      </c>
      <c r="I109" s="54" t="str">
        <f t="shared" ca="1" si="2"/>
        <v/>
      </c>
      <c r="J109" s="54"/>
      <c r="K109" s="55"/>
      <c r="L109" s="56"/>
      <c r="M109" s="56"/>
      <c r="N109" s="56"/>
      <c r="O109" s="56"/>
      <c r="P109" s="56"/>
      <c r="Q109" s="72"/>
      <c r="R109" s="56"/>
      <c r="S109" s="35"/>
      <c r="T109" s="35"/>
      <c r="U109" s="35"/>
      <c r="V109" s="35"/>
      <c r="W109" s="35"/>
      <c r="X109" s="35"/>
      <c r="Y109" s="35"/>
      <c r="Z109" s="35"/>
      <c r="AA109" s="35"/>
      <c r="AB109" s="35"/>
      <c r="AC109" s="35"/>
    </row>
    <row r="110" spans="1:29" ht="15.75" hidden="1" customHeight="1">
      <c r="A110" s="35"/>
      <c r="B110" s="57">
        <v>44</v>
      </c>
      <c r="C110" s="262" t="str">
        <f>IF('INPUT DATA'!Q54="","",'INPUT DATA'!Q54)</f>
        <v/>
      </c>
      <c r="D110" s="172"/>
      <c r="E110" s="263"/>
      <c r="F110" s="264" t="str">
        <f>IF('INPUT DATA'!T54="","",'INPUT DATA'!T54)</f>
        <v/>
      </c>
      <c r="G110" s="263"/>
      <c r="H110" s="71" t="str">
        <f>IF('INPUT DATA'!S54="","",'INPUT DATA'!S54)</f>
        <v/>
      </c>
      <c r="I110" s="54" t="str">
        <f t="shared" ca="1" si="2"/>
        <v/>
      </c>
      <c r="J110" s="54"/>
      <c r="K110" s="55"/>
      <c r="L110" s="56"/>
      <c r="M110" s="56"/>
      <c r="N110" s="56"/>
      <c r="O110" s="56"/>
      <c r="P110" s="56"/>
      <c r="Q110" s="72"/>
      <c r="R110" s="56"/>
      <c r="S110" s="35"/>
      <c r="T110" s="35"/>
      <c r="U110" s="35"/>
      <c r="V110" s="35"/>
      <c r="W110" s="35"/>
      <c r="X110" s="35"/>
      <c r="Y110" s="35"/>
      <c r="Z110" s="35"/>
      <c r="AA110" s="35"/>
      <c r="AB110" s="35"/>
      <c r="AC110" s="35"/>
    </row>
    <row r="111" spans="1:29" ht="15.75" hidden="1" customHeight="1">
      <c r="A111" s="35"/>
      <c r="B111" s="57">
        <v>45</v>
      </c>
      <c r="C111" s="262" t="str">
        <f>IF('INPUT DATA'!Q55="","",'INPUT DATA'!Q55)</f>
        <v/>
      </c>
      <c r="D111" s="172"/>
      <c r="E111" s="263"/>
      <c r="F111" s="264" t="str">
        <f>IF('INPUT DATA'!T55="","",'INPUT DATA'!T55)</f>
        <v/>
      </c>
      <c r="G111" s="263"/>
      <c r="H111" s="71" t="str">
        <f>IF('INPUT DATA'!S55="","",'INPUT DATA'!S55)</f>
        <v/>
      </c>
      <c r="I111" s="54" t="str">
        <f t="shared" ca="1" si="2"/>
        <v/>
      </c>
      <c r="J111" s="54"/>
      <c r="K111" s="58"/>
      <c r="L111" s="59"/>
      <c r="M111" s="59"/>
      <c r="N111" s="59"/>
      <c r="O111" s="59"/>
      <c r="P111" s="59"/>
      <c r="Q111" s="73"/>
      <c r="R111" s="59"/>
      <c r="S111" s="35"/>
      <c r="T111" s="35"/>
      <c r="U111" s="35"/>
      <c r="V111" s="35"/>
      <c r="W111" s="35"/>
      <c r="X111" s="35"/>
      <c r="Y111" s="35"/>
      <c r="Z111" s="35"/>
      <c r="AA111" s="35"/>
      <c r="AB111" s="35"/>
      <c r="AC111" s="35"/>
    </row>
    <row r="112" spans="1:29" ht="15.75" hidden="1" customHeight="1">
      <c r="A112" s="35"/>
      <c r="B112" s="57">
        <v>46</v>
      </c>
      <c r="C112" s="262" t="str">
        <f>IF('INPUT DATA'!Q56="","",'INPUT DATA'!Q56)</f>
        <v/>
      </c>
      <c r="D112" s="172"/>
      <c r="E112" s="263"/>
      <c r="F112" s="264" t="str">
        <f>IF('INPUT DATA'!T56="","",'INPUT DATA'!T56)</f>
        <v/>
      </c>
      <c r="G112" s="263"/>
      <c r="H112" s="71" t="str">
        <f>IF('INPUT DATA'!S56="","",'INPUT DATA'!S56)</f>
        <v/>
      </c>
      <c r="I112" s="54" t="str">
        <f t="shared" ca="1" si="2"/>
        <v/>
      </c>
      <c r="J112" s="54"/>
      <c r="K112" s="55"/>
      <c r="L112" s="56"/>
      <c r="M112" s="56"/>
      <c r="N112" s="56"/>
      <c r="O112" s="56"/>
      <c r="P112" s="56"/>
      <c r="Q112" s="72"/>
      <c r="R112" s="56"/>
      <c r="S112" s="35"/>
      <c r="T112" s="35"/>
      <c r="U112" s="35"/>
      <c r="V112" s="35"/>
      <c r="W112" s="35"/>
      <c r="X112" s="35"/>
      <c r="Y112" s="35"/>
      <c r="Z112" s="35"/>
      <c r="AA112" s="35"/>
      <c r="AB112" s="35"/>
      <c r="AC112" s="35"/>
    </row>
    <row r="113" spans="1:29" ht="15.75" hidden="1" customHeight="1">
      <c r="A113" s="35"/>
      <c r="B113" s="57">
        <v>47</v>
      </c>
      <c r="C113" s="262" t="str">
        <f>IF('INPUT DATA'!Q57="","",'INPUT DATA'!Q57)</f>
        <v/>
      </c>
      <c r="D113" s="172"/>
      <c r="E113" s="263"/>
      <c r="F113" s="264" t="str">
        <f>IF('INPUT DATA'!T57="","",'INPUT DATA'!T57)</f>
        <v/>
      </c>
      <c r="G113" s="263"/>
      <c r="H113" s="71" t="str">
        <f>IF('INPUT DATA'!S57="","",'INPUT DATA'!S57)</f>
        <v/>
      </c>
      <c r="I113" s="54" t="str">
        <f t="shared" ca="1" si="2"/>
        <v/>
      </c>
      <c r="J113" s="54"/>
      <c r="K113" s="55"/>
      <c r="L113" s="56"/>
      <c r="M113" s="56"/>
      <c r="N113" s="56"/>
      <c r="O113" s="56"/>
      <c r="P113" s="56"/>
      <c r="Q113" s="72"/>
      <c r="R113" s="56"/>
      <c r="S113" s="35"/>
      <c r="T113" s="35"/>
      <c r="U113" s="35"/>
      <c r="V113" s="35"/>
      <c r="W113" s="35"/>
      <c r="X113" s="35"/>
      <c r="Y113" s="35"/>
      <c r="Z113" s="35"/>
      <c r="AA113" s="35"/>
      <c r="AB113" s="35"/>
      <c r="AC113" s="35"/>
    </row>
    <row r="114" spans="1:29" ht="15.75" hidden="1" customHeight="1">
      <c r="A114" s="35"/>
      <c r="B114" s="57">
        <v>48</v>
      </c>
      <c r="C114" s="262" t="str">
        <f>IF('INPUT DATA'!Q58="","",'INPUT DATA'!Q58)</f>
        <v/>
      </c>
      <c r="D114" s="172"/>
      <c r="E114" s="263"/>
      <c r="F114" s="264" t="str">
        <f>IF('INPUT DATA'!T58="","",'INPUT DATA'!T58)</f>
        <v/>
      </c>
      <c r="G114" s="263"/>
      <c r="H114" s="71" t="str">
        <f>IF('INPUT DATA'!S58="","",'INPUT DATA'!S58)</f>
        <v/>
      </c>
      <c r="I114" s="54" t="str">
        <f t="shared" ca="1" si="2"/>
        <v/>
      </c>
      <c r="J114" s="54"/>
      <c r="K114" s="55"/>
      <c r="L114" s="56"/>
      <c r="M114" s="56"/>
      <c r="N114" s="56"/>
      <c r="O114" s="56"/>
      <c r="P114" s="56"/>
      <c r="Q114" s="72"/>
      <c r="R114" s="56"/>
      <c r="S114" s="35"/>
      <c r="T114" s="35"/>
      <c r="U114" s="35"/>
      <c r="V114" s="35"/>
      <c r="W114" s="35"/>
      <c r="X114" s="35"/>
      <c r="Y114" s="35"/>
      <c r="Z114" s="35"/>
      <c r="AA114" s="35"/>
      <c r="AB114" s="35"/>
      <c r="AC114" s="35"/>
    </row>
    <row r="115" spans="1:29" ht="15.75" hidden="1" customHeight="1">
      <c r="A115" s="35"/>
      <c r="B115" s="57">
        <v>49</v>
      </c>
      <c r="C115" s="262" t="str">
        <f>IF('INPUT DATA'!Q59="","",'INPUT DATA'!Q59)</f>
        <v/>
      </c>
      <c r="D115" s="172"/>
      <c r="E115" s="263"/>
      <c r="F115" s="264" t="str">
        <f>IF('INPUT DATA'!T59="","",'INPUT DATA'!T59)</f>
        <v/>
      </c>
      <c r="G115" s="263"/>
      <c r="H115" s="71" t="str">
        <f>IF('INPUT DATA'!S59="","",'INPUT DATA'!S59)</f>
        <v/>
      </c>
      <c r="I115" s="54" t="str">
        <f t="shared" ca="1" si="2"/>
        <v/>
      </c>
      <c r="J115" s="54"/>
      <c r="K115" s="55"/>
      <c r="L115" s="56"/>
      <c r="M115" s="56"/>
      <c r="N115" s="56"/>
      <c r="O115" s="56"/>
      <c r="P115" s="56"/>
      <c r="Q115" s="72"/>
      <c r="R115" s="56"/>
      <c r="S115" s="35"/>
      <c r="T115" s="35"/>
      <c r="U115" s="35"/>
      <c r="V115" s="35"/>
      <c r="W115" s="35"/>
      <c r="X115" s="35"/>
      <c r="Y115" s="35"/>
      <c r="Z115" s="35"/>
      <c r="AA115" s="35"/>
      <c r="AB115" s="35"/>
      <c r="AC115" s="35"/>
    </row>
    <row r="116" spans="1:29" ht="15.75" hidden="1" customHeight="1">
      <c r="A116" s="35"/>
      <c r="B116" s="60">
        <v>50</v>
      </c>
      <c r="C116" s="255" t="str">
        <f>IF('INPUT DATA'!Q60="","",'INPUT DATA'!Q60)</f>
        <v/>
      </c>
      <c r="D116" s="256"/>
      <c r="E116" s="257"/>
      <c r="F116" s="267" t="str">
        <f>IF('INPUT DATA'!T60="","",'INPUT DATA'!T60)</f>
        <v/>
      </c>
      <c r="G116" s="257"/>
      <c r="H116" s="61" t="str">
        <f>IF('INPUT DATA'!S60="","",'INPUT DATA'!S60)</f>
        <v/>
      </c>
      <c r="I116" s="54" t="str">
        <f t="shared" ca="1" si="2"/>
        <v/>
      </c>
      <c r="J116" s="62"/>
      <c r="K116" s="63"/>
      <c r="L116" s="64"/>
      <c r="M116" s="64"/>
      <c r="N116" s="64"/>
      <c r="O116" s="64"/>
      <c r="P116" s="64"/>
      <c r="Q116" s="74"/>
      <c r="R116" s="64"/>
      <c r="S116" s="35"/>
      <c r="T116" s="35"/>
      <c r="U116" s="35"/>
      <c r="V116" s="35"/>
      <c r="W116" s="35"/>
      <c r="X116" s="35"/>
      <c r="Y116" s="35"/>
      <c r="Z116" s="35"/>
      <c r="AA116" s="35"/>
      <c r="AB116" s="35"/>
      <c r="AC116" s="35"/>
    </row>
    <row r="117" spans="1:29" ht="15.75" customHeight="1">
      <c r="A117" s="3"/>
      <c r="B117" s="3"/>
      <c r="C117" s="2"/>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5.75" customHeight="1">
      <c r="A118" s="3"/>
      <c r="B118" s="3"/>
      <c r="C118" s="2"/>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5.75" customHeight="1">
      <c r="A119" s="3"/>
      <c r="B119" s="3"/>
      <c r="C119" s="2"/>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5.75" customHeight="1">
      <c r="A120" s="3"/>
      <c r="B120" s="3"/>
      <c r="C120" s="2"/>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5.75" customHeight="1">
      <c r="A121" s="3"/>
      <c r="B121" s="3"/>
      <c r="C121" s="2"/>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5.75" customHeight="1">
      <c r="A122" s="3"/>
      <c r="B122" s="3"/>
      <c r="C122" s="2"/>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5.75" customHeight="1">
      <c r="A123" s="3"/>
      <c r="B123" s="3"/>
      <c r="C123" s="2"/>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5.75" customHeight="1">
      <c r="A124" s="3"/>
      <c r="B124" s="3"/>
      <c r="C124" s="2"/>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5.75" customHeight="1">
      <c r="A125" s="3"/>
      <c r="B125" s="3"/>
      <c r="C125" s="2"/>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5.75" customHeight="1">
      <c r="A126" s="3"/>
      <c r="B126" s="3"/>
      <c r="C126" s="2"/>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5.75" customHeight="1">
      <c r="A127" s="3"/>
      <c r="B127" s="3"/>
      <c r="C127" s="2"/>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mergeCells count="228">
    <mergeCell ref="A1:S4"/>
    <mergeCell ref="C113:E113"/>
    <mergeCell ref="F113:G113"/>
    <mergeCell ref="C114:E114"/>
    <mergeCell ref="F114:G114"/>
    <mergeCell ref="C115:E115"/>
    <mergeCell ref="F115:G115"/>
    <mergeCell ref="C116:E116"/>
    <mergeCell ref="F116:G116"/>
    <mergeCell ref="H11:H14"/>
    <mergeCell ref="B11:E14"/>
    <mergeCell ref="F11:G14"/>
    <mergeCell ref="C108:E108"/>
    <mergeCell ref="F108:G108"/>
    <mergeCell ref="C109:E109"/>
    <mergeCell ref="F109:G109"/>
    <mergeCell ref="C110:E110"/>
    <mergeCell ref="F110:G110"/>
    <mergeCell ref="C111:E111"/>
    <mergeCell ref="F111:G111"/>
    <mergeCell ref="C112:E112"/>
    <mergeCell ref="F112:G112"/>
    <mergeCell ref="C103:E103"/>
    <mergeCell ref="F103:G103"/>
    <mergeCell ref="C104:E104"/>
    <mergeCell ref="F104:G104"/>
    <mergeCell ref="C105:E105"/>
    <mergeCell ref="F105:G105"/>
    <mergeCell ref="C106:E106"/>
    <mergeCell ref="F106:G106"/>
    <mergeCell ref="C107:E107"/>
    <mergeCell ref="F107:G107"/>
    <mergeCell ref="C98:E98"/>
    <mergeCell ref="F98:G98"/>
    <mergeCell ref="C99:E99"/>
    <mergeCell ref="F99:G99"/>
    <mergeCell ref="C100:E100"/>
    <mergeCell ref="F100:G100"/>
    <mergeCell ref="C101:E101"/>
    <mergeCell ref="F101:G101"/>
    <mergeCell ref="C102:E102"/>
    <mergeCell ref="F102:G102"/>
    <mergeCell ref="C93:E93"/>
    <mergeCell ref="F93:G93"/>
    <mergeCell ref="C94:E94"/>
    <mergeCell ref="F94:G94"/>
    <mergeCell ref="C95:E95"/>
    <mergeCell ref="F95:G95"/>
    <mergeCell ref="C96:E96"/>
    <mergeCell ref="F96:G96"/>
    <mergeCell ref="C97:E97"/>
    <mergeCell ref="F97:G97"/>
    <mergeCell ref="C88:E88"/>
    <mergeCell ref="F88:G88"/>
    <mergeCell ref="C89:E89"/>
    <mergeCell ref="F89:G89"/>
    <mergeCell ref="C90:E90"/>
    <mergeCell ref="F90:G90"/>
    <mergeCell ref="C91:E91"/>
    <mergeCell ref="F91:G91"/>
    <mergeCell ref="C92:E92"/>
    <mergeCell ref="F92:G92"/>
    <mergeCell ref="C83:E83"/>
    <mergeCell ref="F83:G83"/>
    <mergeCell ref="C84:E84"/>
    <mergeCell ref="F84:G84"/>
    <mergeCell ref="C85:E85"/>
    <mergeCell ref="F85:G85"/>
    <mergeCell ref="C86:E86"/>
    <mergeCell ref="F86:G86"/>
    <mergeCell ref="C87:E87"/>
    <mergeCell ref="F87:G87"/>
    <mergeCell ref="C78:E78"/>
    <mergeCell ref="F78:G78"/>
    <mergeCell ref="C79:E79"/>
    <mergeCell ref="F79:G79"/>
    <mergeCell ref="C80:E80"/>
    <mergeCell ref="F80:G80"/>
    <mergeCell ref="C81:E81"/>
    <mergeCell ref="F81:G81"/>
    <mergeCell ref="C82:E82"/>
    <mergeCell ref="F82:G82"/>
    <mergeCell ref="C73:E73"/>
    <mergeCell ref="F73:G73"/>
    <mergeCell ref="C74:E74"/>
    <mergeCell ref="F74:G74"/>
    <mergeCell ref="C75:E75"/>
    <mergeCell ref="F75:G75"/>
    <mergeCell ref="C76:E76"/>
    <mergeCell ref="F76:G76"/>
    <mergeCell ref="C77:E77"/>
    <mergeCell ref="F77:G77"/>
    <mergeCell ref="C68:E68"/>
    <mergeCell ref="F68:G68"/>
    <mergeCell ref="C69:E69"/>
    <mergeCell ref="F69:G69"/>
    <mergeCell ref="C70:E70"/>
    <mergeCell ref="F70:G70"/>
    <mergeCell ref="C71:E71"/>
    <mergeCell ref="F71:G71"/>
    <mergeCell ref="C72:E72"/>
    <mergeCell ref="F72:G72"/>
    <mergeCell ref="C62:E62"/>
    <mergeCell ref="F62:G62"/>
    <mergeCell ref="C63:E63"/>
    <mergeCell ref="F63:G63"/>
    <mergeCell ref="C64:E64"/>
    <mergeCell ref="F64:G64"/>
    <mergeCell ref="C65:E65"/>
    <mergeCell ref="F65:G65"/>
    <mergeCell ref="C67:E67"/>
    <mergeCell ref="F67:G67"/>
    <mergeCell ref="C57:E57"/>
    <mergeCell ref="F57:G57"/>
    <mergeCell ref="C58:E58"/>
    <mergeCell ref="F58:G58"/>
    <mergeCell ref="C59:E59"/>
    <mergeCell ref="F59:G59"/>
    <mergeCell ref="C60:E60"/>
    <mergeCell ref="F60:G60"/>
    <mergeCell ref="C61:E61"/>
    <mergeCell ref="F61:G61"/>
    <mergeCell ref="C52:E52"/>
    <mergeCell ref="F52:G52"/>
    <mergeCell ref="C53:E53"/>
    <mergeCell ref="F53:G53"/>
    <mergeCell ref="C54:E54"/>
    <mergeCell ref="F54:G54"/>
    <mergeCell ref="C55:E55"/>
    <mergeCell ref="F55:G55"/>
    <mergeCell ref="C56:E56"/>
    <mergeCell ref="F56:G56"/>
    <mergeCell ref="C47:E47"/>
    <mergeCell ref="F47:G47"/>
    <mergeCell ref="C48:E48"/>
    <mergeCell ref="F48:G48"/>
    <mergeCell ref="C49:E49"/>
    <mergeCell ref="F49:G49"/>
    <mergeCell ref="C50:E50"/>
    <mergeCell ref="F50:G50"/>
    <mergeCell ref="C51:E51"/>
    <mergeCell ref="F51:G51"/>
    <mergeCell ref="C42:E42"/>
    <mergeCell ref="F42:G42"/>
    <mergeCell ref="C43:E43"/>
    <mergeCell ref="F43:G43"/>
    <mergeCell ref="C44:E44"/>
    <mergeCell ref="F44:G44"/>
    <mergeCell ref="C45:E45"/>
    <mergeCell ref="F45:G45"/>
    <mergeCell ref="C46:E46"/>
    <mergeCell ref="F46:G46"/>
    <mergeCell ref="C37:E37"/>
    <mergeCell ref="F37:G37"/>
    <mergeCell ref="C38:E38"/>
    <mergeCell ref="F38:G38"/>
    <mergeCell ref="C39:E39"/>
    <mergeCell ref="F39:G39"/>
    <mergeCell ref="C40:E40"/>
    <mergeCell ref="F40:G40"/>
    <mergeCell ref="C41:E41"/>
    <mergeCell ref="F41:G41"/>
    <mergeCell ref="C32:E32"/>
    <mergeCell ref="F32:G32"/>
    <mergeCell ref="C33:E33"/>
    <mergeCell ref="F33:G33"/>
    <mergeCell ref="C34:E34"/>
    <mergeCell ref="F34:G34"/>
    <mergeCell ref="C35:E35"/>
    <mergeCell ref="F35:G35"/>
    <mergeCell ref="C36:E36"/>
    <mergeCell ref="F36:G36"/>
    <mergeCell ref="C27:E27"/>
    <mergeCell ref="F27:G27"/>
    <mergeCell ref="C28:E28"/>
    <mergeCell ref="F28:G28"/>
    <mergeCell ref="C29:E29"/>
    <mergeCell ref="F29:G29"/>
    <mergeCell ref="C30:E30"/>
    <mergeCell ref="F30:G30"/>
    <mergeCell ref="C31:E31"/>
    <mergeCell ref="F31:G31"/>
    <mergeCell ref="C22:E22"/>
    <mergeCell ref="F22:G22"/>
    <mergeCell ref="C23:E23"/>
    <mergeCell ref="F23:G23"/>
    <mergeCell ref="C24:E24"/>
    <mergeCell ref="F24:G24"/>
    <mergeCell ref="C25:E25"/>
    <mergeCell ref="F25:G25"/>
    <mergeCell ref="C26:E26"/>
    <mergeCell ref="F26:G26"/>
    <mergeCell ref="C17:E17"/>
    <mergeCell ref="F17:G17"/>
    <mergeCell ref="C18:E18"/>
    <mergeCell ref="F18:G18"/>
    <mergeCell ref="C19:E19"/>
    <mergeCell ref="F19:G19"/>
    <mergeCell ref="C20:E20"/>
    <mergeCell ref="F20:G20"/>
    <mergeCell ref="C21:E21"/>
    <mergeCell ref="F21:G21"/>
    <mergeCell ref="G10:K10"/>
    <mergeCell ref="L10:N10"/>
    <mergeCell ref="O10:R10"/>
    <mergeCell ref="K11:R11"/>
    <mergeCell ref="K12:Q12"/>
    <mergeCell ref="K13:M13"/>
    <mergeCell ref="B15:R15"/>
    <mergeCell ref="C16:E16"/>
    <mergeCell ref="F16:G16"/>
    <mergeCell ref="I11:I14"/>
    <mergeCell ref="J11:J14"/>
    <mergeCell ref="N13:N14"/>
    <mergeCell ref="O13:O14"/>
    <mergeCell ref="P13:P14"/>
    <mergeCell ref="Q13:Q14"/>
    <mergeCell ref="B9:E10"/>
    <mergeCell ref="E5:G5"/>
    <mergeCell ref="J5:M5"/>
    <mergeCell ref="E6:G6"/>
    <mergeCell ref="J6:L6"/>
    <mergeCell ref="M6:N6"/>
    <mergeCell ref="O6:P6"/>
    <mergeCell ref="B8:R8"/>
    <mergeCell ref="G9:K9"/>
    <mergeCell ref="L9:N9"/>
    <mergeCell ref="O9:R9"/>
  </mergeCells>
  <dataValidations count="1">
    <dataValidation type="list" allowBlank="1" showErrorMessage="1" sqref="J1048576 J16:J65 J67:J116" xr:uid="{00000000-0002-0000-0200-000000000000}">
      <formula1>"M,F"</formula1>
    </dataValidation>
  </dataValidations>
  <pageMargins left="0.7" right="0.7" top="0.75" bottom="0.75" header="0" footer="0"/>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Right="0"/>
    <pageSetUpPr fitToPage="1"/>
  </sheetPr>
  <dimension ref="A1:AK1000"/>
  <sheetViews>
    <sheetView tabSelected="1" zoomScale="47" zoomScaleNormal="60" workbookViewId="0">
      <selection activeCell="AF23" sqref="AF23"/>
    </sheetView>
  </sheetViews>
  <sheetFormatPr defaultColWidth="12.6640625" defaultRowHeight="15" customHeight="1"/>
  <cols>
    <col min="1" max="1" width="3.88671875" customWidth="1"/>
    <col min="2" max="2" width="10.88671875" customWidth="1"/>
    <col min="3" max="3" width="6.33203125" customWidth="1"/>
    <col min="4" max="4" width="1.88671875" customWidth="1"/>
    <col min="5" max="5" width="18.33203125" customWidth="1"/>
    <col min="6" max="6" width="9.21875" customWidth="1"/>
    <col min="7" max="7" width="8.44140625" customWidth="1"/>
    <col min="8" max="9" width="9.109375" customWidth="1"/>
    <col min="10" max="10" width="10" customWidth="1"/>
    <col min="11" max="11" width="15.109375" customWidth="1"/>
    <col min="12" max="16" width="3.88671875" customWidth="1"/>
    <col min="17" max="17" width="14.77734375" customWidth="1"/>
    <col min="18" max="28" width="6.44140625" customWidth="1"/>
    <col min="29" max="29" width="12.6640625" customWidth="1"/>
    <col min="30" max="30" width="3.88671875" customWidth="1"/>
    <col min="31" max="31" width="12.6640625" customWidth="1"/>
    <col min="32" max="32" width="56.5546875" customWidth="1"/>
    <col min="37" max="37" width="56.21875" customWidth="1"/>
  </cols>
  <sheetData>
    <row r="1" spans="1:37" ht="15.75" customHeight="1">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row>
    <row r="2" spans="1:37" ht="15.45" customHeight="1">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row>
    <row r="3" spans="1:37" ht="15.75" customHeight="1">
      <c r="A3" s="8"/>
      <c r="B3" s="8"/>
      <c r="C3" s="8"/>
      <c r="D3" s="8"/>
      <c r="E3" s="8"/>
      <c r="F3" s="8"/>
      <c r="G3" s="8"/>
      <c r="H3" s="8"/>
      <c r="I3" s="8"/>
      <c r="J3" s="8"/>
      <c r="K3" s="8"/>
      <c r="L3" s="8"/>
      <c r="M3" s="8"/>
      <c r="N3" s="8"/>
      <c r="O3" s="8"/>
      <c r="P3" s="8"/>
      <c r="Q3" s="8"/>
      <c r="R3" s="8"/>
      <c r="S3" s="8"/>
      <c r="T3" s="7"/>
      <c r="U3" s="7"/>
      <c r="V3" s="7"/>
      <c r="W3" s="7"/>
      <c r="X3" s="7"/>
      <c r="Y3" s="7"/>
      <c r="Z3" s="7"/>
      <c r="AA3" s="7"/>
      <c r="AB3" s="7"/>
      <c r="AC3" s="7"/>
      <c r="AD3" s="7"/>
      <c r="AE3" s="7"/>
      <c r="AF3" s="7"/>
      <c r="AK3" s="7" t="s">
        <v>53</v>
      </c>
    </row>
    <row r="4" spans="1:37" ht="15.75" customHeight="1">
      <c r="A4" s="9"/>
      <c r="B4" s="152" t="s">
        <v>54</v>
      </c>
      <c r="C4" s="153"/>
      <c r="D4" s="153"/>
      <c r="E4" s="153"/>
      <c r="F4" s="153"/>
      <c r="G4" s="153"/>
      <c r="H4" s="153"/>
      <c r="I4" s="153"/>
      <c r="J4" s="153"/>
      <c r="K4" s="153"/>
      <c r="L4" s="9"/>
      <c r="M4" s="9"/>
      <c r="N4" s="9"/>
      <c r="O4" s="9"/>
      <c r="P4" s="9"/>
      <c r="Q4" s="10" t="s">
        <v>55</v>
      </c>
      <c r="R4" s="10" t="s">
        <v>56</v>
      </c>
      <c r="S4" s="10" t="s">
        <v>57</v>
      </c>
      <c r="T4" s="10" t="s">
        <v>58</v>
      </c>
      <c r="U4" s="10" t="s">
        <v>59</v>
      </c>
      <c r="V4" s="10" t="s">
        <v>60</v>
      </c>
      <c r="W4" s="10" t="s">
        <v>61</v>
      </c>
      <c r="X4" s="10" t="s">
        <v>62</v>
      </c>
      <c r="Y4" s="10" t="s">
        <v>63</v>
      </c>
      <c r="Z4" s="10" t="s">
        <v>64</v>
      </c>
      <c r="AA4" s="10" t="s">
        <v>65</v>
      </c>
      <c r="AB4" s="10" t="s">
        <v>66</v>
      </c>
      <c r="AC4" s="10" t="s">
        <v>67</v>
      </c>
      <c r="AD4" s="7"/>
      <c r="AE4" s="7"/>
      <c r="AF4" s="7"/>
      <c r="AK4" s="7" t="s">
        <v>68</v>
      </c>
    </row>
    <row r="5" spans="1:37" ht="15.75" customHeight="1">
      <c r="A5" s="9"/>
      <c r="B5" s="152"/>
      <c r="C5" s="153"/>
      <c r="D5" s="153"/>
      <c r="E5" s="153"/>
      <c r="F5" s="153"/>
      <c r="G5" s="153"/>
      <c r="H5" s="153"/>
      <c r="I5" s="153"/>
      <c r="J5" s="153"/>
      <c r="K5" s="153"/>
      <c r="L5" s="9"/>
      <c r="M5" s="9"/>
      <c r="N5" s="9"/>
      <c r="O5" s="7"/>
      <c r="P5" s="7"/>
      <c r="Q5" s="185" t="s">
        <v>69</v>
      </c>
      <c r="R5" s="158" t="e">
        <f>#REF!</f>
        <v>#REF!</v>
      </c>
      <c r="S5" s="158" t="e">
        <f>#REF!</f>
        <v>#REF!</v>
      </c>
      <c r="T5" s="158" t="e">
        <f>#REF!</f>
        <v>#REF!</v>
      </c>
      <c r="U5" s="158" t="e">
        <f>#REF!</f>
        <v>#REF!</v>
      </c>
      <c r="V5" s="158" t="e">
        <f>#REF!</f>
        <v>#REF!</v>
      </c>
      <c r="W5" s="158" t="e">
        <f>#REF!</f>
        <v>#REF!</v>
      </c>
      <c r="X5" s="158" t="e">
        <f>#REF!</f>
        <v>#REF!</v>
      </c>
      <c r="Y5" s="158" t="e">
        <f>#REF!</f>
        <v>#REF!</v>
      </c>
      <c r="Z5" s="158" t="e">
        <f>#REF!</f>
        <v>#REF!</v>
      </c>
      <c r="AA5" s="158" t="e">
        <f>#REF!</f>
        <v>#REF!</v>
      </c>
      <c r="AB5" s="158" t="e">
        <f>#REF!</f>
        <v>#REF!</v>
      </c>
      <c r="AC5" s="194" t="e">
        <f>SUM(R5:AB6)</f>
        <v>#REF!</v>
      </c>
      <c r="AD5" s="7"/>
      <c r="AE5" s="7"/>
      <c r="AF5" s="7"/>
      <c r="AK5" s="7" t="s">
        <v>70</v>
      </c>
    </row>
    <row r="6" spans="1:37" ht="15.75" customHeight="1">
      <c r="A6" s="7"/>
      <c r="B6" s="7"/>
      <c r="C6" s="9"/>
      <c r="D6" s="9"/>
      <c r="E6" s="9"/>
      <c r="F6" s="9"/>
      <c r="G6" s="9"/>
      <c r="H6" s="9"/>
      <c r="I6" s="9"/>
      <c r="J6" s="9"/>
      <c r="K6" s="9"/>
      <c r="L6" s="7"/>
      <c r="M6" s="7"/>
      <c r="N6" s="7"/>
      <c r="O6" s="9"/>
      <c r="P6" s="9"/>
      <c r="Q6" s="186"/>
      <c r="R6" s="159"/>
      <c r="S6" s="159"/>
      <c r="T6" s="159"/>
      <c r="U6" s="159"/>
      <c r="V6" s="159"/>
      <c r="W6" s="159"/>
      <c r="X6" s="159"/>
      <c r="Y6" s="159"/>
      <c r="Z6" s="159"/>
      <c r="AA6" s="159"/>
      <c r="AB6" s="159"/>
      <c r="AC6" s="159"/>
      <c r="AD6" s="7"/>
      <c r="AE6" s="7"/>
      <c r="AF6" s="7"/>
      <c r="AK6" s="7" t="s">
        <v>71</v>
      </c>
    </row>
    <row r="7" spans="1:37" ht="15.75" customHeight="1">
      <c r="A7" s="9"/>
      <c r="B7" s="154" t="s">
        <v>72</v>
      </c>
      <c r="C7" s="155"/>
      <c r="D7" s="155"/>
      <c r="E7" s="155"/>
      <c r="F7" s="155"/>
      <c r="G7" s="155"/>
      <c r="H7" s="155"/>
      <c r="I7" s="155"/>
      <c r="J7" s="155"/>
      <c r="K7" s="155"/>
      <c r="L7" s="9"/>
      <c r="M7" s="9"/>
      <c r="N7" s="9"/>
      <c r="O7" s="9"/>
      <c r="P7" s="9"/>
      <c r="Q7" s="185" t="s">
        <v>73</v>
      </c>
      <c r="R7" s="158" t="e">
        <f>IF(#REF!="","",IFERROR(VLOOKUP(C17,#REF!,4,0),""))</f>
        <v>#REF!</v>
      </c>
      <c r="S7" s="158" t="e">
        <f>IF(#REF!="","",IFERROR(VLOOKUP(C17,#REF!,5,0),""))</f>
        <v>#REF!</v>
      </c>
      <c r="T7" s="158" t="e">
        <f>IF(#REF!="","",IFERROR(VLOOKUP(C17,#REF!,6,0),""))</f>
        <v>#REF!</v>
      </c>
      <c r="U7" s="158" t="e">
        <f>IF(#REF!="","",IFERROR(VLOOKUP(C17,#REF!,7,0),""))</f>
        <v>#REF!</v>
      </c>
      <c r="V7" s="158" t="e">
        <f>IF(#REF!="","",IFERROR(VLOOKUP(C17,#REF!,8,0),""))</f>
        <v>#REF!</v>
      </c>
      <c r="W7" s="158" t="e">
        <f>IF(#REF!="","",IFERROR(VLOOKUP(C17,#REF!,9,0),""))</f>
        <v>#REF!</v>
      </c>
      <c r="X7" s="158" t="e">
        <f>IF(#REF!="","",IFERROR(VLOOKUP(C17,#REF!,10,0),""))</f>
        <v>#REF!</v>
      </c>
      <c r="Y7" s="158" t="e">
        <f>IF(#REF!="","",IFERROR(VLOOKUP(C17,#REF!,11,0),""))</f>
        <v>#REF!</v>
      </c>
      <c r="Z7" s="158" t="e">
        <f>IF(#REF!="","",IFERROR(VLOOKUP(C17,#REF!,12,0),""))</f>
        <v>#REF!</v>
      </c>
      <c r="AA7" s="158" t="e">
        <f>IF(#REF!="","",IFERROR(VLOOKUP(C17,#REF!,13,0),""))</f>
        <v>#REF!</v>
      </c>
      <c r="AB7" s="158" t="e">
        <f>IF(#REF!="","",IFERROR(VLOOKUP(C17,#REF!,14,0),""))</f>
        <v>#REF!</v>
      </c>
      <c r="AC7" s="194" t="e">
        <f>SUM(R7:AB8)</f>
        <v>#REF!</v>
      </c>
      <c r="AD7" s="7"/>
      <c r="AE7" s="7"/>
      <c r="AF7" s="7"/>
      <c r="AK7" s="7" t="s">
        <v>74</v>
      </c>
    </row>
    <row r="8" spans="1:37" ht="15.75" customHeight="1">
      <c r="A8" s="11"/>
      <c r="B8" s="156" t="s">
        <v>75</v>
      </c>
      <c r="C8" s="153"/>
      <c r="D8" s="153"/>
      <c r="E8" s="153"/>
      <c r="F8" s="153"/>
      <c r="G8" s="153"/>
      <c r="H8" s="153"/>
      <c r="I8" s="153"/>
      <c r="J8" s="153"/>
      <c r="K8" s="153"/>
      <c r="L8" s="9"/>
      <c r="M8" s="9"/>
      <c r="N8" s="9"/>
      <c r="O8" s="9"/>
      <c r="P8" s="9"/>
      <c r="Q8" s="186"/>
      <c r="R8" s="159"/>
      <c r="S8" s="159"/>
      <c r="T8" s="159"/>
      <c r="U8" s="159"/>
      <c r="V8" s="159"/>
      <c r="W8" s="159"/>
      <c r="X8" s="159"/>
      <c r="Y8" s="159"/>
      <c r="Z8" s="159"/>
      <c r="AA8" s="159"/>
      <c r="AB8" s="159"/>
      <c r="AC8" s="159"/>
      <c r="AD8" s="7"/>
      <c r="AE8" s="7"/>
      <c r="AF8" s="7"/>
      <c r="AK8" s="7" t="s">
        <v>76</v>
      </c>
    </row>
    <row r="9" spans="1:37" ht="15.75" customHeight="1">
      <c r="A9" s="9"/>
      <c r="B9" s="154" t="s">
        <v>77</v>
      </c>
      <c r="C9" s="155"/>
      <c r="D9" s="155"/>
      <c r="E9" s="155"/>
      <c r="F9" s="155"/>
      <c r="G9" s="155"/>
      <c r="H9" s="155"/>
      <c r="I9" s="155"/>
      <c r="J9" s="155"/>
      <c r="K9" s="155"/>
      <c r="L9" s="9"/>
      <c r="M9" s="9"/>
      <c r="N9" s="9"/>
      <c r="O9" s="9"/>
      <c r="P9" s="9"/>
      <c r="Q9" s="185" t="s">
        <v>78</v>
      </c>
      <c r="R9" s="158" t="e">
        <f t="shared" ref="R9:AB9" si="0">IF(R7="","",ABS(R5-R7))</f>
        <v>#REF!</v>
      </c>
      <c r="S9" s="158" t="e">
        <f t="shared" si="0"/>
        <v>#REF!</v>
      </c>
      <c r="T9" s="158" t="e">
        <f t="shared" si="0"/>
        <v>#REF!</v>
      </c>
      <c r="U9" s="158" t="e">
        <f t="shared" si="0"/>
        <v>#REF!</v>
      </c>
      <c r="V9" s="158" t="e">
        <f t="shared" si="0"/>
        <v>#REF!</v>
      </c>
      <c r="W9" s="158" t="e">
        <f t="shared" si="0"/>
        <v>#REF!</v>
      </c>
      <c r="X9" s="158" t="e">
        <f t="shared" si="0"/>
        <v>#REF!</v>
      </c>
      <c r="Y9" s="158" t="e">
        <f t="shared" si="0"/>
        <v>#REF!</v>
      </c>
      <c r="Z9" s="158" t="e">
        <f t="shared" si="0"/>
        <v>#REF!</v>
      </c>
      <c r="AA9" s="158" t="e">
        <f t="shared" si="0"/>
        <v>#REF!</v>
      </c>
      <c r="AB9" s="158" t="e">
        <f t="shared" si="0"/>
        <v>#REF!</v>
      </c>
      <c r="AC9" s="194" t="e">
        <f>ABS(AC5-AC7)</f>
        <v>#REF!</v>
      </c>
      <c r="AD9" s="7"/>
      <c r="AE9" s="7"/>
      <c r="AF9" s="7"/>
      <c r="AK9" s="7" t="s">
        <v>79</v>
      </c>
    </row>
    <row r="10" spans="1:37" ht="15.75" customHeight="1">
      <c r="A10" s="9"/>
      <c r="B10" s="154" t="s">
        <v>80</v>
      </c>
      <c r="C10" s="155"/>
      <c r="D10" s="155"/>
      <c r="E10" s="155"/>
      <c r="F10" s="155"/>
      <c r="G10" s="155"/>
      <c r="H10" s="155"/>
      <c r="I10" s="155"/>
      <c r="J10" s="155"/>
      <c r="K10" s="155"/>
      <c r="L10" s="9"/>
      <c r="M10" s="9"/>
      <c r="N10" s="9"/>
      <c r="O10" s="9"/>
      <c r="P10" s="9"/>
      <c r="Q10" s="186"/>
      <c r="R10" s="159"/>
      <c r="S10" s="159"/>
      <c r="T10" s="159"/>
      <c r="U10" s="159"/>
      <c r="V10" s="159"/>
      <c r="W10" s="159"/>
      <c r="X10" s="159"/>
      <c r="Y10" s="159"/>
      <c r="Z10" s="159"/>
      <c r="AA10" s="159"/>
      <c r="AB10" s="159"/>
      <c r="AC10" s="159"/>
      <c r="AD10" s="7"/>
      <c r="AE10" s="7"/>
      <c r="AF10" s="7"/>
      <c r="AK10" s="7" t="s">
        <v>81</v>
      </c>
    </row>
    <row r="11" spans="1:37" ht="3.75" customHeight="1">
      <c r="A11" s="9"/>
      <c r="B11" s="9"/>
      <c r="C11" s="9"/>
      <c r="D11" s="9"/>
      <c r="E11" s="9"/>
      <c r="F11" s="9"/>
      <c r="G11" s="9"/>
      <c r="H11" s="9"/>
      <c r="I11" s="9"/>
      <c r="J11" s="9"/>
      <c r="K11" s="9"/>
      <c r="L11" s="8"/>
      <c r="M11" s="8"/>
      <c r="N11" s="8"/>
      <c r="O11" s="8"/>
      <c r="P11" s="8"/>
      <c r="Q11" s="8"/>
      <c r="R11" s="8"/>
      <c r="S11" s="8"/>
      <c r="T11" s="7"/>
      <c r="U11" s="7"/>
      <c r="V11" s="7"/>
      <c r="W11" s="7"/>
      <c r="X11" s="7"/>
      <c r="Y11" s="7"/>
      <c r="Z11" s="7"/>
      <c r="AA11" s="7"/>
      <c r="AB11" s="7"/>
      <c r="AC11" s="7"/>
      <c r="AD11" s="7"/>
      <c r="AE11" s="7"/>
      <c r="AF11" s="7"/>
      <c r="AK11" s="7" t="s">
        <v>82</v>
      </c>
    </row>
    <row r="12" spans="1:37" ht="15.75" customHeight="1">
      <c r="A12" s="7"/>
      <c r="B12" s="157" t="s">
        <v>17</v>
      </c>
      <c r="C12" s="153"/>
      <c r="D12" s="153"/>
      <c r="E12" s="153"/>
      <c r="F12" s="153"/>
      <c r="G12" s="153"/>
      <c r="H12" s="153"/>
      <c r="I12" s="153"/>
      <c r="J12" s="153"/>
      <c r="K12" s="153"/>
      <c r="L12" s="12"/>
      <c r="M12" s="12"/>
      <c r="N12" s="12"/>
      <c r="O12" s="12"/>
      <c r="P12" s="12"/>
      <c r="Q12" s="12"/>
      <c r="R12" s="9"/>
      <c r="S12" s="9"/>
      <c r="T12" s="7"/>
      <c r="U12" s="7"/>
      <c r="V12" s="7"/>
      <c r="W12" s="7"/>
      <c r="X12" s="7"/>
      <c r="Y12" s="7"/>
      <c r="Z12" s="7"/>
      <c r="AA12" s="7"/>
      <c r="AB12" s="7"/>
      <c r="AC12" s="7"/>
      <c r="AD12" s="7"/>
      <c r="AE12" s="7"/>
      <c r="AF12" s="7"/>
      <c r="AK12" s="7" t="s">
        <v>83</v>
      </c>
    </row>
    <row r="13" spans="1:37" ht="3.75" customHeight="1">
      <c r="A13" s="8"/>
      <c r="B13" s="8"/>
      <c r="C13" s="8"/>
      <c r="D13" s="8"/>
      <c r="E13" s="8"/>
      <c r="F13" s="8"/>
      <c r="G13" s="8"/>
      <c r="H13" s="8"/>
      <c r="I13" s="8"/>
      <c r="J13" s="8"/>
      <c r="K13" s="8"/>
      <c r="L13" s="8"/>
      <c r="M13" s="8"/>
      <c r="N13" s="8"/>
      <c r="O13" s="8"/>
      <c r="P13" s="8"/>
      <c r="Q13" s="8"/>
      <c r="R13" s="8"/>
      <c r="S13" s="8"/>
      <c r="T13" s="7"/>
      <c r="U13" s="7"/>
      <c r="V13" s="7"/>
      <c r="W13" s="7"/>
      <c r="X13" s="7"/>
      <c r="Y13" s="7"/>
      <c r="Z13" s="7"/>
      <c r="AA13" s="7"/>
      <c r="AB13" s="7"/>
      <c r="AC13" s="7"/>
      <c r="AD13" s="7"/>
      <c r="AE13" s="7"/>
      <c r="AF13" s="7"/>
      <c r="AK13" s="7" t="s">
        <v>84</v>
      </c>
    </row>
    <row r="14" spans="1:37" ht="15.75" customHeight="1">
      <c r="A14" s="11"/>
      <c r="B14" s="156" t="s">
        <v>85</v>
      </c>
      <c r="C14" s="153"/>
      <c r="D14" s="153"/>
      <c r="E14" s="153"/>
      <c r="F14" s="153"/>
      <c r="G14" s="153"/>
      <c r="H14" s="153"/>
      <c r="I14" s="153"/>
      <c r="J14" s="153"/>
      <c r="K14" s="153"/>
      <c r="L14" s="11"/>
      <c r="M14" s="11"/>
      <c r="N14" s="11"/>
      <c r="O14" s="11"/>
      <c r="P14" s="11"/>
      <c r="Q14" s="156" t="s">
        <v>86</v>
      </c>
      <c r="R14" s="153"/>
      <c r="S14" s="153"/>
      <c r="T14" s="153"/>
      <c r="U14" s="153"/>
      <c r="V14" s="153"/>
      <c r="W14" s="153"/>
      <c r="X14" s="153"/>
      <c r="Y14" s="153"/>
      <c r="Z14" s="153"/>
      <c r="AA14" s="153"/>
      <c r="AB14" s="153"/>
      <c r="AC14" s="153"/>
      <c r="AD14" s="7"/>
      <c r="AE14" s="7"/>
      <c r="AF14" s="7"/>
      <c r="AK14" s="7" t="s">
        <v>87</v>
      </c>
    </row>
    <row r="15" spans="1:37" ht="15.75" customHeight="1">
      <c r="A15" s="9"/>
      <c r="B15" s="152" t="s">
        <v>88</v>
      </c>
      <c r="C15" s="153"/>
      <c r="D15" s="153"/>
      <c r="E15" s="153"/>
      <c r="F15" s="153"/>
      <c r="G15" s="153"/>
      <c r="H15" s="153"/>
      <c r="I15" s="153"/>
      <c r="J15" s="153"/>
      <c r="K15" s="153"/>
      <c r="L15" s="12"/>
      <c r="M15" s="12"/>
      <c r="N15" s="12"/>
      <c r="O15" s="9"/>
      <c r="P15" s="9"/>
      <c r="Q15" s="188" t="s">
        <v>89</v>
      </c>
      <c r="R15" s="200" t="s">
        <v>53</v>
      </c>
      <c r="S15" s="200"/>
      <c r="T15" s="200"/>
      <c r="U15" s="200"/>
      <c r="V15" s="200"/>
      <c r="W15" s="200"/>
      <c r="X15" s="200"/>
      <c r="Y15" s="200"/>
      <c r="Z15" s="200"/>
      <c r="AA15" s="200"/>
      <c r="AB15" s="200"/>
      <c r="AC15" s="201"/>
      <c r="AD15" s="7"/>
      <c r="AE15" s="7"/>
      <c r="AF15" s="7"/>
      <c r="AK15" s="7" t="s">
        <v>90</v>
      </c>
    </row>
    <row r="16" spans="1:37" ht="15.75" customHeight="1">
      <c r="A16" s="8"/>
      <c r="B16" s="8"/>
      <c r="C16" s="8"/>
      <c r="D16" s="8"/>
      <c r="E16" s="8"/>
      <c r="F16" s="8"/>
      <c r="G16" s="8"/>
      <c r="H16" s="8"/>
      <c r="I16" s="8"/>
      <c r="J16" s="8"/>
      <c r="K16" s="8"/>
      <c r="L16" s="8"/>
      <c r="M16" s="8"/>
      <c r="N16" s="8"/>
      <c r="O16" s="9"/>
      <c r="P16" s="9"/>
      <c r="Q16" s="189"/>
      <c r="R16" s="202"/>
      <c r="S16" s="202"/>
      <c r="T16" s="202"/>
      <c r="U16" s="202"/>
      <c r="V16" s="202"/>
      <c r="W16" s="202"/>
      <c r="X16" s="202"/>
      <c r="Y16" s="202"/>
      <c r="Z16" s="202"/>
      <c r="AA16" s="202"/>
      <c r="AB16" s="202"/>
      <c r="AC16" s="203"/>
      <c r="AD16" s="7"/>
      <c r="AE16" s="7"/>
      <c r="AF16" s="7"/>
      <c r="AK16" s="7" t="s">
        <v>91</v>
      </c>
    </row>
    <row r="17" spans="1:37" ht="15.75" customHeight="1">
      <c r="A17" s="12"/>
      <c r="B17" s="12" t="s">
        <v>92</v>
      </c>
      <c r="C17" s="160" t="s">
        <v>238</v>
      </c>
      <c r="D17" s="161"/>
      <c r="E17" s="161"/>
      <c r="F17" s="161"/>
      <c r="G17" s="161"/>
      <c r="H17" s="12" t="s">
        <v>93</v>
      </c>
      <c r="I17" s="146">
        <v>15</v>
      </c>
      <c r="J17" s="12" t="s">
        <v>94</v>
      </c>
      <c r="K17" s="146" t="str">
        <f>IF(C17="","",VLOOKUP(C17,'TERM 1 SUMMARY'!C16:R116,8,0))</f>
        <v>F</v>
      </c>
      <c r="L17" s="13"/>
      <c r="M17" s="13"/>
      <c r="N17" s="13"/>
      <c r="O17" s="9"/>
      <c r="P17" s="9"/>
      <c r="Q17" s="189"/>
      <c r="R17" s="202"/>
      <c r="S17" s="202"/>
      <c r="T17" s="202"/>
      <c r="U17" s="202"/>
      <c r="V17" s="202"/>
      <c r="W17" s="202"/>
      <c r="X17" s="202"/>
      <c r="Y17" s="202"/>
      <c r="Z17" s="202"/>
      <c r="AA17" s="202"/>
      <c r="AB17" s="202"/>
      <c r="AC17" s="203"/>
      <c r="AD17" s="7"/>
      <c r="AE17" s="7"/>
      <c r="AF17" s="7"/>
      <c r="AK17" s="7" t="s">
        <v>95</v>
      </c>
    </row>
    <row r="18" spans="1:37" ht="15.75" customHeight="1">
      <c r="A18" s="12"/>
      <c r="B18" s="12" t="s">
        <v>96</v>
      </c>
      <c r="C18" s="162">
        <v>107744160041</v>
      </c>
      <c r="D18" s="163"/>
      <c r="E18" s="163"/>
      <c r="F18" s="14"/>
      <c r="G18" s="15"/>
      <c r="H18" s="12" t="s">
        <v>97</v>
      </c>
      <c r="I18" s="146">
        <f>IF('INPUT DATA'!F27="","",'INPUT DATA'!F27)</f>
        <v>11</v>
      </c>
      <c r="J18" s="12" t="s">
        <v>98</v>
      </c>
      <c r="K18" s="147" t="str">
        <f>IF('INPUT DATA'!F29="","",'INPUT DATA'!F29)</f>
        <v>MEDICAL SCIENCE</v>
      </c>
      <c r="L18" s="7"/>
      <c r="M18" s="7"/>
      <c r="N18" s="7"/>
      <c r="O18" s="9"/>
      <c r="P18" s="9"/>
      <c r="Q18" s="190"/>
      <c r="R18" s="204"/>
      <c r="S18" s="204"/>
      <c r="T18" s="204"/>
      <c r="U18" s="204"/>
      <c r="V18" s="204"/>
      <c r="W18" s="204"/>
      <c r="X18" s="204"/>
      <c r="Y18" s="204"/>
      <c r="Z18" s="204"/>
      <c r="AA18" s="204"/>
      <c r="AB18" s="204"/>
      <c r="AC18" s="205"/>
      <c r="AD18" s="7"/>
      <c r="AE18" s="7"/>
      <c r="AF18" s="7"/>
      <c r="AK18" s="7" t="s">
        <v>99</v>
      </c>
    </row>
    <row r="19" spans="1:37" ht="15.75" customHeight="1">
      <c r="A19" s="8"/>
      <c r="B19" s="8" t="s">
        <v>100</v>
      </c>
      <c r="C19" s="8"/>
      <c r="D19" s="8"/>
      <c r="E19" s="164" t="str">
        <f>IF('INPUT DATA'!F28="","",'INPUT DATA'!F28)</f>
        <v>Academic</v>
      </c>
      <c r="F19" s="165"/>
      <c r="G19" s="7"/>
      <c r="H19" s="7"/>
      <c r="I19" s="7"/>
      <c r="J19" s="7"/>
      <c r="K19" s="7"/>
      <c r="L19" s="7"/>
      <c r="M19" s="7"/>
      <c r="N19" s="7"/>
      <c r="O19" s="8"/>
      <c r="P19" s="8"/>
      <c r="Q19" s="191" t="s">
        <v>101</v>
      </c>
      <c r="R19" s="206"/>
      <c r="S19" s="206"/>
      <c r="T19" s="206"/>
      <c r="U19" s="206"/>
      <c r="V19" s="206"/>
      <c r="W19" s="206"/>
      <c r="X19" s="206"/>
      <c r="Y19" s="206"/>
      <c r="Z19" s="206"/>
      <c r="AA19" s="206"/>
      <c r="AB19" s="206"/>
      <c r="AC19" s="207"/>
      <c r="AD19" s="7"/>
      <c r="AE19" s="7"/>
      <c r="AF19" s="7"/>
      <c r="AK19" s="7" t="s">
        <v>102</v>
      </c>
    </row>
    <row r="20" spans="1:37" ht="15.75" customHeight="1">
      <c r="A20" s="8"/>
      <c r="B20" s="8"/>
      <c r="C20" s="8"/>
      <c r="D20" s="8"/>
      <c r="E20" s="8"/>
      <c r="F20" s="8"/>
      <c r="G20" s="8"/>
      <c r="H20" s="8"/>
      <c r="I20" s="8"/>
      <c r="J20" s="8"/>
      <c r="K20" s="8"/>
      <c r="L20" s="8"/>
      <c r="M20" s="8"/>
      <c r="N20" s="8"/>
      <c r="O20" s="8"/>
      <c r="P20" s="8"/>
      <c r="Q20" s="192"/>
      <c r="R20" s="148"/>
      <c r="S20" s="148"/>
      <c r="T20" s="148"/>
      <c r="U20" s="148"/>
      <c r="V20" s="148"/>
      <c r="W20" s="148"/>
      <c r="X20" s="148"/>
      <c r="Y20" s="148"/>
      <c r="Z20" s="148"/>
      <c r="AA20" s="148"/>
      <c r="AB20" s="148"/>
      <c r="AC20" s="208"/>
      <c r="AD20" s="7"/>
      <c r="AE20" s="7"/>
      <c r="AF20" s="7"/>
      <c r="AK20" s="7" t="s">
        <v>103</v>
      </c>
    </row>
    <row r="21" spans="1:37" ht="15.75" customHeight="1">
      <c r="A21" s="17"/>
      <c r="B21" s="166" t="s">
        <v>104</v>
      </c>
      <c r="C21" s="153"/>
      <c r="D21" s="1"/>
      <c r="E21" s="17"/>
      <c r="F21" s="17"/>
      <c r="G21" s="17"/>
      <c r="H21" s="17"/>
      <c r="I21" s="17"/>
      <c r="J21" s="17"/>
      <c r="K21" s="17"/>
      <c r="L21" s="17"/>
      <c r="M21" s="17"/>
      <c r="N21" s="17"/>
      <c r="O21" s="17"/>
      <c r="P21" s="17"/>
      <c r="Q21" s="192"/>
      <c r="R21" s="148"/>
      <c r="S21" s="148"/>
      <c r="T21" s="148"/>
      <c r="U21" s="148"/>
      <c r="V21" s="148"/>
      <c r="W21" s="148"/>
      <c r="X21" s="148"/>
      <c r="Y21" s="148"/>
      <c r="Z21" s="148"/>
      <c r="AA21" s="148"/>
      <c r="AB21" s="148"/>
      <c r="AC21" s="208"/>
      <c r="AD21" s="7"/>
      <c r="AE21" s="7"/>
      <c r="AF21" s="7"/>
      <c r="AK21" s="7" t="s">
        <v>105</v>
      </c>
    </row>
    <row r="22" spans="1:37" ht="15.75" customHeight="1">
      <c r="A22" s="8"/>
      <c r="B22" s="8"/>
      <c r="C22" s="8" t="s">
        <v>106</v>
      </c>
      <c r="D22" s="8"/>
      <c r="E22" s="8"/>
      <c r="F22" s="8"/>
      <c r="G22" s="8"/>
      <c r="H22" s="8"/>
      <c r="I22" s="8"/>
      <c r="J22" s="8"/>
      <c r="K22" s="8"/>
      <c r="L22" s="8"/>
      <c r="M22" s="8"/>
      <c r="N22" s="8"/>
      <c r="O22" s="8"/>
      <c r="P22" s="8"/>
      <c r="Q22" s="193"/>
      <c r="R22" s="209"/>
      <c r="S22" s="209"/>
      <c r="T22" s="209"/>
      <c r="U22" s="209"/>
      <c r="V22" s="209"/>
      <c r="W22" s="209"/>
      <c r="X22" s="209"/>
      <c r="Y22" s="209"/>
      <c r="Z22" s="209"/>
      <c r="AA22" s="209"/>
      <c r="AB22" s="209"/>
      <c r="AC22" s="210"/>
      <c r="AD22" s="7"/>
      <c r="AE22" s="7"/>
      <c r="AF22" s="7"/>
      <c r="AK22" s="7" t="s">
        <v>107</v>
      </c>
    </row>
    <row r="23" spans="1:37" ht="15.75" customHeight="1">
      <c r="A23" s="8"/>
      <c r="B23" s="8" t="s">
        <v>108</v>
      </c>
      <c r="C23" s="1"/>
      <c r="D23" s="1"/>
      <c r="E23" s="1"/>
      <c r="F23" s="8"/>
      <c r="G23" s="8"/>
      <c r="H23" s="8"/>
      <c r="I23" s="8"/>
      <c r="J23" s="8"/>
      <c r="K23" s="8"/>
      <c r="L23" s="8"/>
      <c r="M23" s="8"/>
      <c r="N23" s="8"/>
      <c r="O23" s="8"/>
      <c r="P23" s="8"/>
      <c r="Q23" s="191" t="s">
        <v>109</v>
      </c>
      <c r="R23" s="206"/>
      <c r="S23" s="206"/>
      <c r="T23" s="206"/>
      <c r="U23" s="206"/>
      <c r="V23" s="206"/>
      <c r="W23" s="206"/>
      <c r="X23" s="206"/>
      <c r="Y23" s="206"/>
      <c r="Z23" s="206"/>
      <c r="AA23" s="206"/>
      <c r="AB23" s="206"/>
      <c r="AC23" s="207"/>
      <c r="AD23" s="7"/>
      <c r="AE23" s="7"/>
      <c r="AF23" s="7"/>
      <c r="AK23" s="7" t="s">
        <v>110</v>
      </c>
    </row>
    <row r="24" spans="1:37" ht="15.75" customHeight="1">
      <c r="A24" s="8"/>
      <c r="B24" s="8"/>
      <c r="C24" s="8" t="s">
        <v>111</v>
      </c>
      <c r="D24" s="8"/>
      <c r="E24" s="8"/>
      <c r="F24" s="8"/>
      <c r="G24" s="8"/>
      <c r="H24" s="8"/>
      <c r="I24" s="8"/>
      <c r="J24" s="8"/>
      <c r="K24" s="8"/>
      <c r="L24" s="8"/>
      <c r="M24" s="8"/>
      <c r="N24" s="8"/>
      <c r="O24" s="8"/>
      <c r="P24" s="8"/>
      <c r="Q24" s="192"/>
      <c r="R24" s="148"/>
      <c r="S24" s="148"/>
      <c r="T24" s="148"/>
      <c r="U24" s="148"/>
      <c r="V24" s="148"/>
      <c r="W24" s="148"/>
      <c r="X24" s="148"/>
      <c r="Y24" s="148"/>
      <c r="Z24" s="148"/>
      <c r="AA24" s="148"/>
      <c r="AB24" s="148"/>
      <c r="AC24" s="208"/>
      <c r="AD24" s="7"/>
      <c r="AE24" s="7"/>
      <c r="AF24" s="7"/>
      <c r="AK24" s="7" t="s">
        <v>112</v>
      </c>
    </row>
    <row r="25" spans="1:37" ht="15.75" customHeight="1">
      <c r="A25" s="8"/>
      <c r="B25" s="8" t="s">
        <v>113</v>
      </c>
      <c r="C25" s="8"/>
      <c r="D25" s="8"/>
      <c r="E25" s="8"/>
      <c r="F25" s="8"/>
      <c r="G25" s="8"/>
      <c r="H25" s="8"/>
      <c r="I25" s="8"/>
      <c r="J25" s="8"/>
      <c r="K25" s="8"/>
      <c r="L25" s="8"/>
      <c r="M25" s="8"/>
      <c r="N25" s="8"/>
      <c r="O25" s="8"/>
      <c r="P25" s="8"/>
      <c r="Q25" s="192"/>
      <c r="R25" s="148"/>
      <c r="S25" s="148"/>
      <c r="T25" s="148"/>
      <c r="U25" s="148"/>
      <c r="V25" s="148"/>
      <c r="W25" s="148"/>
      <c r="X25" s="148"/>
      <c r="Y25" s="148"/>
      <c r="Z25" s="148"/>
      <c r="AA25" s="148"/>
      <c r="AB25" s="148"/>
      <c r="AC25" s="208"/>
      <c r="AD25" s="7"/>
      <c r="AE25" s="7"/>
      <c r="AF25" s="7"/>
      <c r="AK25" s="7" t="s">
        <v>114</v>
      </c>
    </row>
    <row r="26" spans="1:37" ht="15.75" customHeight="1">
      <c r="A26" s="7"/>
      <c r="B26" s="7"/>
      <c r="C26" s="7"/>
      <c r="D26" s="7"/>
      <c r="E26" s="7"/>
      <c r="F26" s="7"/>
      <c r="G26" s="7"/>
      <c r="H26" s="7"/>
      <c r="I26" s="7"/>
      <c r="J26" s="7"/>
      <c r="K26" s="7"/>
      <c r="L26" s="7"/>
      <c r="M26" s="7"/>
      <c r="N26" s="7"/>
      <c r="O26" s="7"/>
      <c r="P26" s="7"/>
      <c r="Q26" s="193"/>
      <c r="R26" s="209"/>
      <c r="S26" s="209"/>
      <c r="T26" s="209"/>
      <c r="U26" s="209"/>
      <c r="V26" s="209"/>
      <c r="W26" s="209"/>
      <c r="X26" s="209"/>
      <c r="Y26" s="209"/>
      <c r="Z26" s="209"/>
      <c r="AA26" s="209"/>
      <c r="AB26" s="209"/>
      <c r="AC26" s="210"/>
      <c r="AD26" s="7"/>
      <c r="AE26" s="7"/>
      <c r="AF26" s="7"/>
      <c r="AK26" s="7" t="s">
        <v>115</v>
      </c>
    </row>
    <row r="27" spans="1:37" ht="15.75" customHeight="1">
      <c r="A27" s="11"/>
      <c r="B27" s="167" t="str">
        <f>IF('INPUT DATA'!F19="","",'INPUT DATA'!F19)</f>
        <v>JAENA N. DELA CERNA</v>
      </c>
      <c r="C27" s="168"/>
      <c r="D27" s="168"/>
      <c r="E27" s="168"/>
      <c r="F27" s="168"/>
      <c r="G27" s="1"/>
      <c r="H27" s="169" t="str">
        <f>IF('INPUT DATA'!F26="","",'INPUT DATA'!F26)</f>
        <v>NIÑO M. LUNA</v>
      </c>
      <c r="I27" s="168"/>
      <c r="J27" s="168"/>
      <c r="K27" s="168"/>
      <c r="L27" s="11"/>
      <c r="M27" s="11"/>
      <c r="N27" s="11"/>
      <c r="O27" s="11"/>
      <c r="P27" s="11"/>
      <c r="Q27" s="11"/>
      <c r="R27" s="11"/>
      <c r="S27" s="7"/>
      <c r="T27" s="7"/>
      <c r="U27" s="7"/>
      <c r="V27" s="7"/>
      <c r="W27" s="7"/>
      <c r="X27" s="7"/>
      <c r="Y27" s="7"/>
      <c r="Z27" s="7"/>
      <c r="AA27" s="7"/>
      <c r="AB27" s="7"/>
      <c r="AC27" s="7"/>
      <c r="AD27" s="7"/>
      <c r="AE27" s="7"/>
      <c r="AF27" s="7"/>
      <c r="AK27" s="7" t="s">
        <v>116</v>
      </c>
    </row>
    <row r="28" spans="1:37" ht="15.75" customHeight="1">
      <c r="A28" s="7"/>
      <c r="B28" s="152" t="s">
        <v>117</v>
      </c>
      <c r="C28" s="153"/>
      <c r="D28" s="153"/>
      <c r="E28" s="153"/>
      <c r="F28" s="153"/>
      <c r="G28" s="8"/>
      <c r="H28" s="152" t="s">
        <v>118</v>
      </c>
      <c r="I28" s="153"/>
      <c r="J28" s="153"/>
      <c r="K28" s="153"/>
      <c r="L28" s="7"/>
      <c r="M28" s="7"/>
      <c r="N28" s="7"/>
      <c r="O28" s="7"/>
      <c r="P28" s="7"/>
      <c r="Q28" s="148" t="s">
        <v>119</v>
      </c>
      <c r="R28" s="153"/>
      <c r="S28" s="153"/>
      <c r="T28" s="153"/>
      <c r="U28" s="153"/>
      <c r="V28" s="153"/>
      <c r="W28" s="153"/>
      <c r="X28" s="153"/>
      <c r="Y28" s="153"/>
      <c r="Z28" s="153"/>
      <c r="AA28" s="153"/>
      <c r="AB28" s="153"/>
      <c r="AC28" s="153"/>
      <c r="AD28" s="7"/>
      <c r="AE28" s="7"/>
      <c r="AF28" s="7"/>
      <c r="AK28" s="7" t="s">
        <v>120</v>
      </c>
    </row>
    <row r="29" spans="1:37" ht="25.5" customHeight="1">
      <c r="A29" s="16"/>
      <c r="B29" s="156" t="s">
        <v>121</v>
      </c>
      <c r="C29" s="153"/>
      <c r="D29" s="153"/>
      <c r="E29" s="153"/>
      <c r="F29" s="153"/>
      <c r="G29" s="153"/>
      <c r="H29" s="153"/>
      <c r="I29" s="153"/>
      <c r="J29" s="153"/>
      <c r="K29" s="153"/>
      <c r="L29" s="16"/>
      <c r="M29" s="16"/>
      <c r="N29" s="16"/>
      <c r="O29" s="16"/>
      <c r="P29" s="16"/>
      <c r="Q29" s="8"/>
      <c r="R29" s="170" t="s">
        <v>89</v>
      </c>
      <c r="S29" s="153"/>
      <c r="T29" s="18"/>
      <c r="U29" s="18"/>
      <c r="V29" s="18"/>
      <c r="W29" s="18"/>
      <c r="X29" s="18"/>
      <c r="Y29" s="18"/>
      <c r="Z29" s="18"/>
      <c r="AA29" s="18"/>
      <c r="AB29" s="18"/>
      <c r="AC29" s="7"/>
      <c r="AD29" s="7"/>
      <c r="AE29" s="7"/>
      <c r="AF29" s="7"/>
      <c r="AK29" s="7" t="s">
        <v>122</v>
      </c>
    </row>
    <row r="30" spans="1:37" ht="25.5" customHeight="1">
      <c r="A30" s="16"/>
      <c r="B30" s="191" t="s">
        <v>39</v>
      </c>
      <c r="C30" s="196"/>
      <c r="D30" s="196"/>
      <c r="E30" s="197"/>
      <c r="F30" s="171" t="s">
        <v>123</v>
      </c>
      <c r="G30" s="172"/>
      <c r="H30" s="173"/>
      <c r="I30" s="185" t="s">
        <v>124</v>
      </c>
      <c r="J30" s="185" t="s">
        <v>125</v>
      </c>
      <c r="K30" s="187" t="s">
        <v>126</v>
      </c>
      <c r="L30" s="16"/>
      <c r="M30" s="16"/>
      <c r="N30" s="16"/>
      <c r="O30" s="16"/>
      <c r="P30" s="16"/>
      <c r="Q30" s="8"/>
      <c r="R30" s="170" t="s">
        <v>101</v>
      </c>
      <c r="S30" s="153"/>
      <c r="T30" s="18"/>
      <c r="U30" s="18"/>
      <c r="V30" s="18"/>
      <c r="W30" s="18"/>
      <c r="X30" s="18"/>
      <c r="Y30" s="18"/>
      <c r="Z30" s="18"/>
      <c r="AA30" s="18"/>
      <c r="AB30" s="18"/>
      <c r="AC30" s="7"/>
      <c r="AD30" s="7"/>
      <c r="AE30" s="7"/>
      <c r="AF30" s="7"/>
      <c r="AK30" s="7" t="s">
        <v>127</v>
      </c>
    </row>
    <row r="31" spans="1:37" ht="25.5" customHeight="1">
      <c r="A31" s="17"/>
      <c r="B31" s="198"/>
      <c r="C31" s="168"/>
      <c r="D31" s="168"/>
      <c r="E31" s="199"/>
      <c r="F31" s="10" t="s">
        <v>128</v>
      </c>
      <c r="G31" s="10" t="s">
        <v>129</v>
      </c>
      <c r="H31" s="10" t="s">
        <v>130</v>
      </c>
      <c r="I31" s="186"/>
      <c r="J31" s="186"/>
      <c r="K31" s="186"/>
      <c r="L31" s="8"/>
      <c r="M31" s="8"/>
      <c r="N31" s="8"/>
      <c r="O31" s="8"/>
      <c r="P31" s="8"/>
      <c r="Q31" s="8"/>
      <c r="R31" s="170" t="s">
        <v>109</v>
      </c>
      <c r="S31" s="153"/>
      <c r="T31" s="18"/>
      <c r="U31" s="18"/>
      <c r="V31" s="18"/>
      <c r="W31" s="18"/>
      <c r="X31" s="18"/>
      <c r="Y31" s="18"/>
      <c r="Z31" s="18"/>
      <c r="AA31" s="18"/>
      <c r="AB31" s="18"/>
      <c r="AC31" s="7"/>
      <c r="AD31" s="7"/>
      <c r="AE31" s="7"/>
      <c r="AF31" s="7"/>
      <c r="AK31" s="7" t="s">
        <v>131</v>
      </c>
    </row>
    <row r="32" spans="1:37" ht="25.5" customHeight="1">
      <c r="A32" s="19"/>
      <c r="B32" s="174" t="s">
        <v>40</v>
      </c>
      <c r="C32" s="172"/>
      <c r="D32" s="172"/>
      <c r="E32" s="172"/>
      <c r="F32" s="172"/>
      <c r="G32" s="172"/>
      <c r="H32" s="172"/>
      <c r="I32" s="172"/>
      <c r="J32" s="172"/>
      <c r="K32" s="173"/>
      <c r="L32" s="8"/>
      <c r="M32" s="8"/>
      <c r="N32" s="8"/>
      <c r="O32" s="8"/>
      <c r="P32" s="8"/>
      <c r="Q32" s="8"/>
      <c r="R32" s="1"/>
      <c r="S32" s="1"/>
      <c r="T32" s="1"/>
      <c r="U32" s="1"/>
      <c r="V32" s="1"/>
      <c r="W32" s="1"/>
      <c r="X32" s="1"/>
      <c r="Y32" s="1"/>
      <c r="Z32" s="1"/>
      <c r="AA32" s="1"/>
      <c r="AB32" s="1"/>
      <c r="AC32" s="7"/>
      <c r="AD32" s="7"/>
      <c r="AE32" s="7"/>
      <c r="AF32" s="7"/>
      <c r="AK32" s="7" t="s">
        <v>132</v>
      </c>
    </row>
    <row r="33" spans="1:37" ht="31.5" customHeight="1">
      <c r="A33" s="19"/>
      <c r="B33" s="149" t="s">
        <v>133</v>
      </c>
      <c r="C33" s="150"/>
      <c r="D33" s="150"/>
      <c r="E33" s="151"/>
      <c r="F33" s="20"/>
      <c r="G33" s="20" t="e">
        <f>IF(#REF!="","",VLOOKUP(C17,#REF!,11,0))</f>
        <v>#REF!</v>
      </c>
      <c r="H33" s="20" t="e">
        <f>IF(#REF!="","",VLOOKUP(C17,#REF!,11,0))</f>
        <v>#REF!</v>
      </c>
      <c r="I33" s="21"/>
      <c r="J33" s="20"/>
      <c r="K33" s="20" t="str">
        <f>IF(J33="","",IF(J33&gt;=75,"Passed","Failed"))</f>
        <v/>
      </c>
      <c r="L33" s="22">
        <f>J33*I33</f>
        <v>0</v>
      </c>
      <c r="M33" s="8"/>
      <c r="N33" s="8"/>
      <c r="O33" s="8"/>
      <c r="P33" s="8"/>
      <c r="Q33" s="148" t="s">
        <v>134</v>
      </c>
      <c r="R33" s="148"/>
      <c r="S33" s="148"/>
      <c r="T33" s="148"/>
      <c r="U33" s="148"/>
      <c r="V33" s="148"/>
      <c r="W33" s="148"/>
      <c r="X33" s="148"/>
      <c r="Y33" s="148"/>
      <c r="Z33" s="148"/>
      <c r="AA33" s="148"/>
      <c r="AB33" s="148"/>
      <c r="AC33" s="148"/>
      <c r="AD33" s="7"/>
      <c r="AE33" s="7"/>
      <c r="AF33" s="7"/>
      <c r="AK33" s="7" t="s">
        <v>135</v>
      </c>
    </row>
    <row r="34" spans="1:37" ht="25.5" customHeight="1">
      <c r="A34" s="19"/>
      <c r="B34" s="175" t="s">
        <v>136</v>
      </c>
      <c r="C34" s="176"/>
      <c r="D34" s="176"/>
      <c r="E34" s="177"/>
      <c r="F34" s="20">
        <f>IF('TERM 1 SUMMARY'!K16="","",VLOOKUP(C17,'TERM 1 SUMMARY'!C16:R116,10,0))</f>
        <v>88</v>
      </c>
      <c r="G34" s="20" t="e">
        <f>IF(#REF!="","",VLOOKUP(C17,#REF!,11,0))</f>
        <v>#REF!</v>
      </c>
      <c r="H34" s="20" t="e">
        <f>IF(#REF!="","",VLOOKUP(C17,#REF!,11,0))</f>
        <v>#REF!</v>
      </c>
      <c r="I34" s="21"/>
      <c r="J34" s="23"/>
      <c r="K34" s="23"/>
      <c r="L34" s="22"/>
      <c r="M34" s="8"/>
      <c r="N34" s="8"/>
      <c r="O34" s="8"/>
      <c r="P34" s="8"/>
      <c r="Q34" s="8" t="s">
        <v>137</v>
      </c>
      <c r="R34" s="8"/>
      <c r="S34" s="8"/>
      <c r="T34" s="8"/>
      <c r="U34" s="8"/>
      <c r="V34" s="8"/>
      <c r="W34" s="8"/>
      <c r="X34" s="8"/>
      <c r="Y34" s="8"/>
      <c r="Z34" s="8"/>
      <c r="AA34" s="8"/>
      <c r="AB34" s="8"/>
      <c r="AC34" s="8"/>
      <c r="AD34" s="7"/>
      <c r="AE34" s="7"/>
      <c r="AF34" s="7"/>
      <c r="AK34" s="7" t="s">
        <v>138</v>
      </c>
    </row>
    <row r="35" spans="1:37" ht="25.5" customHeight="1">
      <c r="A35" s="19"/>
      <c r="B35" s="178" t="s">
        <v>139</v>
      </c>
      <c r="C35" s="172"/>
      <c r="D35" s="172"/>
      <c r="E35" s="173"/>
      <c r="F35" s="20">
        <f>IF('TERM 1 SUMMARY'!K16="","",VLOOKUP(C17,'TERM 1 SUMMARY'!C16:R116,11,0))</f>
        <v>91</v>
      </c>
      <c r="G35" s="20" t="e">
        <f>IF(#REF!="","",VLOOKUP(C17,#REF!,10,0))</f>
        <v>#REF!</v>
      </c>
      <c r="H35" s="20" t="e">
        <f>IF(#REF!="","",VLOOKUP(C17,#REF!,10,0))</f>
        <v>#REF!</v>
      </c>
      <c r="I35" s="21"/>
      <c r="J35" s="23"/>
      <c r="K35" s="23"/>
      <c r="L35" s="22"/>
      <c r="M35" s="8"/>
      <c r="N35" s="8"/>
      <c r="O35" s="8"/>
      <c r="P35" s="8"/>
      <c r="Q35" s="8" t="s">
        <v>140</v>
      </c>
      <c r="R35" s="8"/>
      <c r="S35" s="8"/>
      <c r="T35" s="8"/>
      <c r="U35" s="8"/>
      <c r="V35" s="8"/>
      <c r="W35" s="8"/>
      <c r="X35" s="8"/>
      <c r="Y35" s="8"/>
      <c r="Z35" s="8"/>
      <c r="AA35" s="8"/>
      <c r="AB35" s="8"/>
      <c r="AC35" s="8"/>
      <c r="AD35" s="7"/>
      <c r="AE35" s="7" t="str">
        <f>IF(COUNT(F31:H31)=0,"",ROUND((F31+G31+H31)/3,0))</f>
        <v/>
      </c>
      <c r="AF35" s="7"/>
      <c r="AK35" s="7" t="s">
        <v>141</v>
      </c>
    </row>
    <row r="36" spans="1:37" ht="25.5" customHeight="1">
      <c r="A36" s="19"/>
      <c r="B36" s="149" t="s">
        <v>43</v>
      </c>
      <c r="C36" s="172"/>
      <c r="D36" s="172"/>
      <c r="E36" s="173"/>
      <c r="F36" s="20">
        <f>IF('TERM 1 SUMMARY'!K16="","",VLOOKUP(C17,'TERM 1 SUMMARY'!C16:R116,12,0))</f>
        <v>81</v>
      </c>
      <c r="G36" s="20" t="e">
        <f>IF(#REF!="","",VLOOKUP(C17,#REF!,12,0))</f>
        <v>#REF!</v>
      </c>
      <c r="H36" s="20" t="e">
        <f>IF(#REF!="","",VLOOKUP(C17,#REF!,12,0))</f>
        <v>#REF!</v>
      </c>
      <c r="I36" s="21"/>
      <c r="J36" s="20"/>
      <c r="K36" s="20" t="str">
        <f t="shared" ref="K36:K39" si="1">IF(J36="","",IF(J36&gt;=75,"Passed","Failed"))</f>
        <v/>
      </c>
      <c r="L36" s="22">
        <f t="shared" ref="L36:L39" si="2">J36*I36</f>
        <v>0</v>
      </c>
      <c r="M36" s="8"/>
      <c r="N36" s="8"/>
      <c r="O36" s="8"/>
      <c r="P36" s="8"/>
      <c r="Q36" s="8"/>
      <c r="R36" s="8"/>
      <c r="S36" s="8"/>
      <c r="T36" s="8"/>
      <c r="U36" s="8"/>
      <c r="V36" s="8"/>
      <c r="W36" s="8"/>
      <c r="X36" s="8"/>
      <c r="Y36" s="8"/>
      <c r="Z36" s="8"/>
      <c r="AA36" s="8"/>
      <c r="AB36" s="8"/>
      <c r="AC36" s="8"/>
      <c r="AD36" s="7"/>
      <c r="AE36" s="7"/>
      <c r="AF36" s="7"/>
      <c r="AK36" s="7" t="s">
        <v>142</v>
      </c>
    </row>
    <row r="37" spans="1:37" ht="25.5" customHeight="1">
      <c r="A37" s="19"/>
      <c r="B37" s="149" t="s">
        <v>44</v>
      </c>
      <c r="C37" s="172"/>
      <c r="D37" s="172"/>
      <c r="E37" s="173"/>
      <c r="F37" s="20">
        <f>IF('TERM 1 SUMMARY'!K16="","",VLOOKUP(C17,'TERM 1 SUMMARY'!C16:R116,13,0))</f>
        <v>84</v>
      </c>
      <c r="G37" s="20" t="e">
        <f>IF(#REF!="","",VLOOKUP(C17,#REF!,13,0))</f>
        <v>#REF!</v>
      </c>
      <c r="H37" s="20" t="e">
        <f>IF(#REF!="","",VLOOKUP(C17,#REF!,13,0))</f>
        <v>#REF!</v>
      </c>
      <c r="I37" s="21"/>
      <c r="J37" s="20"/>
      <c r="K37" s="20" t="str">
        <f t="shared" si="1"/>
        <v/>
      </c>
      <c r="L37" s="22">
        <f t="shared" si="2"/>
        <v>0</v>
      </c>
      <c r="M37" s="8"/>
      <c r="N37" s="8"/>
      <c r="O37" s="8"/>
      <c r="P37" s="8"/>
      <c r="Q37" s="8" t="s">
        <v>143</v>
      </c>
      <c r="R37" s="8"/>
      <c r="S37" s="24"/>
      <c r="T37" s="24"/>
      <c r="U37" s="8"/>
      <c r="V37" s="8"/>
      <c r="W37" s="8"/>
      <c r="X37" s="8"/>
      <c r="Y37" s="8"/>
      <c r="Z37" s="8"/>
      <c r="AA37" s="8"/>
      <c r="AB37" s="8"/>
      <c r="AC37" s="8"/>
      <c r="AD37" s="7"/>
      <c r="AE37" s="7"/>
      <c r="AF37" s="7"/>
      <c r="AK37" s="7" t="s">
        <v>144</v>
      </c>
    </row>
    <row r="38" spans="1:37" ht="25.5" customHeight="1">
      <c r="A38" s="19"/>
      <c r="B38" s="149" t="s">
        <v>45</v>
      </c>
      <c r="C38" s="172"/>
      <c r="D38" s="172"/>
      <c r="E38" s="173"/>
      <c r="F38" s="20">
        <f>IF('TERM 1 SUMMARY'!K16="","",VLOOKUP(C17,'TERM 1 SUMMARY'!C16:R116,14,0))</f>
        <v>89</v>
      </c>
      <c r="G38" s="25" t="e">
        <f>IF(#REF!="","",VLOOKUP(C17,#REF!,14,0))</f>
        <v>#REF!</v>
      </c>
      <c r="H38" s="25" t="e">
        <f>IF(#REF!="","",VLOOKUP(C17,#REF!,14,0))</f>
        <v>#REF!</v>
      </c>
      <c r="I38" s="21"/>
      <c r="J38" s="20"/>
      <c r="K38" s="20" t="str">
        <f t="shared" si="1"/>
        <v/>
      </c>
      <c r="L38" s="22">
        <f t="shared" si="2"/>
        <v>0</v>
      </c>
      <c r="M38" s="8"/>
      <c r="N38" s="8"/>
      <c r="O38" s="8"/>
      <c r="P38" s="8"/>
      <c r="Q38" s="8" t="s">
        <v>145</v>
      </c>
      <c r="R38" s="8"/>
      <c r="S38" s="8"/>
      <c r="T38" s="8"/>
      <c r="U38" s="24"/>
      <c r="V38" s="24"/>
      <c r="W38" s="24"/>
      <c r="X38" s="24"/>
      <c r="Y38" s="8"/>
      <c r="Z38" s="8"/>
      <c r="AA38" s="8"/>
      <c r="AB38" s="8"/>
      <c r="AC38" s="8"/>
      <c r="AD38" s="7"/>
      <c r="AE38" s="7"/>
      <c r="AF38" s="7"/>
      <c r="AK38" s="7" t="s">
        <v>146</v>
      </c>
    </row>
    <row r="39" spans="1:37" ht="32.25" customHeight="1">
      <c r="A39" s="26"/>
      <c r="B39" s="149" t="s">
        <v>147</v>
      </c>
      <c r="C39" s="172"/>
      <c r="D39" s="172"/>
      <c r="E39" s="173"/>
      <c r="F39" s="20">
        <f>IF('TERM 1 SUMMARY'!K16="","",VLOOKUP(C17,'TERM 1 SUMMARY'!C16:R116,15,0))</f>
        <v>88</v>
      </c>
      <c r="G39" s="20" t="e">
        <f>IF(#REF!="","",VLOOKUP(C17,#REF!,15,0))</f>
        <v>#REF!</v>
      </c>
      <c r="H39" s="20" t="e">
        <f>IF(#REF!="","",VLOOKUP(C17,#REF!,15,0))</f>
        <v>#REF!</v>
      </c>
      <c r="I39" s="21"/>
      <c r="J39" s="20"/>
      <c r="K39" s="20" t="str">
        <f t="shared" si="1"/>
        <v/>
      </c>
      <c r="L39" s="22">
        <f t="shared" si="2"/>
        <v>0</v>
      </c>
      <c r="M39" s="7"/>
      <c r="N39" s="7"/>
      <c r="O39" s="7"/>
      <c r="P39" s="7"/>
      <c r="Q39" s="8"/>
      <c r="R39" s="8"/>
      <c r="S39" s="8"/>
      <c r="T39" s="8"/>
      <c r="U39" s="8"/>
      <c r="V39" s="8"/>
      <c r="W39" s="8"/>
      <c r="X39" s="167" t="str">
        <f>IF('INPUT DATA'!F26="","",'INPUT DATA'!F26)</f>
        <v>NIÑO M. LUNA</v>
      </c>
      <c r="Y39" s="168"/>
      <c r="Z39" s="168"/>
      <c r="AA39" s="168"/>
      <c r="AB39" s="168"/>
      <c r="AC39" s="168"/>
      <c r="AD39" s="7"/>
      <c r="AE39" s="7"/>
      <c r="AF39" s="7"/>
      <c r="AK39" s="7" t="s">
        <v>148</v>
      </c>
    </row>
    <row r="40" spans="1:37" ht="25.5" customHeight="1">
      <c r="A40" s="26"/>
      <c r="B40" s="179" t="s">
        <v>41</v>
      </c>
      <c r="C40" s="172"/>
      <c r="D40" s="172"/>
      <c r="E40" s="172"/>
      <c r="F40" s="172"/>
      <c r="G40" s="172"/>
      <c r="H40" s="172"/>
      <c r="I40" s="172"/>
      <c r="J40" s="172"/>
      <c r="K40" s="173"/>
      <c r="L40" s="27"/>
      <c r="M40" s="7"/>
      <c r="N40" s="7"/>
      <c r="O40" s="7"/>
      <c r="P40" s="7"/>
      <c r="Q40" s="8" t="s">
        <v>149</v>
      </c>
      <c r="R40" s="148"/>
      <c r="S40" s="153"/>
      <c r="T40" s="153"/>
      <c r="U40" s="153"/>
      <c r="V40" s="8"/>
      <c r="W40" s="8"/>
      <c r="X40" s="180" t="s">
        <v>118</v>
      </c>
      <c r="Y40" s="153"/>
      <c r="Z40" s="153"/>
      <c r="AA40" s="153"/>
      <c r="AB40" s="153"/>
      <c r="AC40" s="153"/>
      <c r="AD40" s="7"/>
      <c r="AE40" s="7"/>
      <c r="AF40" s="7"/>
      <c r="AK40" s="7" t="s">
        <v>150</v>
      </c>
    </row>
    <row r="41" spans="1:37" ht="25.5" customHeight="1">
      <c r="A41" s="28"/>
      <c r="B41" s="181" t="s">
        <v>245</v>
      </c>
      <c r="C41" s="172"/>
      <c r="D41" s="172"/>
      <c r="E41" s="173"/>
      <c r="F41" s="25">
        <f>IF('TERM 1 SUMMARY'!K16="","",VLOOKUP(C17,'TERM 1 SUMMARY'!C16:R116,16,0))</f>
        <v>86</v>
      </c>
      <c r="G41" s="29"/>
      <c r="H41" s="29"/>
      <c r="I41" s="21"/>
      <c r="J41" s="20"/>
      <c r="K41" s="20" t="str">
        <f t="shared" ref="K41:K44" si="3">IF(J41="","",IF(J41&gt;=75,"Passed","Failed"))</f>
        <v/>
      </c>
      <c r="L41" s="22">
        <f t="shared" ref="L41:L43" si="4">J41*I41</f>
        <v>0</v>
      </c>
      <c r="M41" s="7"/>
      <c r="N41" s="7"/>
      <c r="O41" s="7"/>
      <c r="P41" s="7"/>
      <c r="Q41" s="195" t="str">
        <f>IF('INPUT DATA'!F19="","",'INPUT DATA'!F19)</f>
        <v>JAENA N. DELA CERNA</v>
      </c>
      <c r="R41" s="153"/>
      <c r="S41" s="153"/>
      <c r="T41" s="153"/>
      <c r="U41" s="153"/>
      <c r="V41" s="153"/>
      <c r="W41" s="8"/>
      <c r="X41" s="180"/>
      <c r="Y41" s="153"/>
      <c r="Z41" s="153"/>
      <c r="AA41" s="153"/>
      <c r="AB41" s="153"/>
      <c r="AC41" s="153"/>
      <c r="AD41" s="7"/>
      <c r="AE41" s="7"/>
      <c r="AF41" s="7"/>
      <c r="AK41" s="7" t="s">
        <v>151</v>
      </c>
    </row>
    <row r="42" spans="1:37" ht="25.5" customHeight="1">
      <c r="A42" s="19"/>
      <c r="B42" s="182"/>
      <c r="C42" s="172"/>
      <c r="D42" s="172"/>
      <c r="E42" s="173"/>
      <c r="F42" s="30"/>
      <c r="G42" s="25" t="e">
        <f>IF(#REF!="","",VLOOKUP(C17,#REF!,16,0))</f>
        <v>#REF!</v>
      </c>
      <c r="H42" s="30"/>
      <c r="I42" s="31"/>
      <c r="J42" s="20" t="e">
        <f t="shared" ref="J42:J43" si="5">IF(SUM(F42:H42)=0,"",ROUND((F42+H42+G42)*I42/I42,0))</f>
        <v>#REF!</v>
      </c>
      <c r="K42" s="20" t="e">
        <f t="shared" si="3"/>
        <v>#REF!</v>
      </c>
      <c r="L42" s="22" t="e">
        <f t="shared" si="4"/>
        <v>#REF!</v>
      </c>
      <c r="M42" s="7"/>
      <c r="N42" s="7"/>
      <c r="O42" s="7"/>
      <c r="P42" s="7"/>
      <c r="Q42" s="168"/>
      <c r="R42" s="168"/>
      <c r="S42" s="168"/>
      <c r="T42" s="168"/>
      <c r="U42" s="168"/>
      <c r="V42" s="168"/>
      <c r="W42" s="1"/>
      <c r="X42" s="152"/>
      <c r="Y42" s="153"/>
      <c r="Z42" s="153"/>
      <c r="AA42" s="153"/>
      <c r="AB42" s="153"/>
      <c r="AC42" s="153"/>
      <c r="AD42" s="7"/>
      <c r="AE42" s="7"/>
      <c r="AF42" s="7"/>
      <c r="AK42" s="7" t="s">
        <v>152</v>
      </c>
    </row>
    <row r="43" spans="1:37" ht="25.5" customHeight="1">
      <c r="A43" s="32"/>
      <c r="B43" s="182"/>
      <c r="C43" s="172"/>
      <c r="D43" s="172"/>
      <c r="E43" s="173"/>
      <c r="F43" s="30"/>
      <c r="G43" s="30"/>
      <c r="H43" s="25" t="e">
        <f>IF(#REF!="","",VLOOKUP(C17,#REF!,16,0))</f>
        <v>#REF!</v>
      </c>
      <c r="I43" s="31"/>
      <c r="J43" s="20" t="e">
        <f t="shared" si="5"/>
        <v>#REF!</v>
      </c>
      <c r="K43" s="20" t="e">
        <f t="shared" si="3"/>
        <v>#REF!</v>
      </c>
      <c r="L43" s="22" t="e">
        <f t="shared" si="4"/>
        <v>#REF!</v>
      </c>
      <c r="M43" s="7"/>
      <c r="N43" s="7"/>
      <c r="O43" s="7"/>
      <c r="P43" s="7"/>
      <c r="Q43" s="152" t="s">
        <v>153</v>
      </c>
      <c r="R43" s="153"/>
      <c r="S43" s="153"/>
      <c r="T43" s="153"/>
      <c r="U43" s="153"/>
      <c r="V43" s="153"/>
      <c r="W43" s="8"/>
      <c r="X43" s="152"/>
      <c r="Y43" s="153"/>
      <c r="Z43" s="153"/>
      <c r="AA43" s="153"/>
      <c r="AB43" s="153"/>
      <c r="AC43" s="153"/>
      <c r="AD43" s="7"/>
      <c r="AE43" s="7"/>
      <c r="AF43" s="7"/>
      <c r="AK43" s="7" t="s">
        <v>154</v>
      </c>
    </row>
    <row r="44" spans="1:37" ht="25.5" customHeight="1">
      <c r="A44" s="32"/>
      <c r="B44" s="183" t="s">
        <v>155</v>
      </c>
      <c r="C44" s="172"/>
      <c r="D44" s="172"/>
      <c r="E44" s="172"/>
      <c r="F44" s="172"/>
      <c r="G44" s="172"/>
      <c r="H44" s="172"/>
      <c r="I44" s="33"/>
      <c r="J44" s="33" t="str">
        <f>IF(COUNT(J33:J39,J41:J43)=0,"",ROUND(L44/I44,0))</f>
        <v/>
      </c>
      <c r="K44" s="34" t="str">
        <f t="shared" si="3"/>
        <v/>
      </c>
      <c r="L44" s="27" t="e">
        <f>SUM(L33:L43)</f>
        <v>#REF!</v>
      </c>
      <c r="M44" s="7"/>
      <c r="N44" s="7"/>
      <c r="O44" s="7"/>
      <c r="P44" s="7"/>
      <c r="Q44" s="9"/>
      <c r="R44" s="9"/>
      <c r="S44" s="9"/>
      <c r="T44" s="9"/>
      <c r="U44" s="9"/>
      <c r="V44" s="9"/>
      <c r="W44" s="8"/>
      <c r="X44" s="9"/>
      <c r="Y44" s="9"/>
      <c r="Z44" s="9"/>
      <c r="AA44" s="9"/>
      <c r="AB44" s="9"/>
      <c r="AC44" s="9"/>
      <c r="AD44" s="7"/>
      <c r="AE44" s="7"/>
      <c r="AF44" s="7"/>
      <c r="AK44" s="7" t="s">
        <v>156</v>
      </c>
    </row>
    <row r="45" spans="1:37" ht="15.75" customHeight="1">
      <c r="A45" s="8"/>
      <c r="B45" s="8"/>
      <c r="C45" s="8"/>
      <c r="D45" s="8"/>
      <c r="E45" s="8"/>
      <c r="F45" s="7"/>
      <c r="G45" s="7"/>
      <c r="H45" s="7"/>
      <c r="I45" s="7"/>
      <c r="J45" s="7"/>
      <c r="K45" s="7"/>
      <c r="L45" s="7"/>
      <c r="M45" s="7"/>
      <c r="N45" s="7"/>
      <c r="O45" s="7"/>
      <c r="P45" s="7"/>
      <c r="Q45" s="148" t="s">
        <v>157</v>
      </c>
      <c r="R45" s="153"/>
      <c r="S45" s="153"/>
      <c r="T45" s="153"/>
      <c r="U45" s="153"/>
      <c r="V45" s="153"/>
      <c r="W45" s="153"/>
      <c r="X45" s="153"/>
      <c r="Y45" s="153"/>
      <c r="Z45" s="153"/>
      <c r="AA45" s="153"/>
      <c r="AB45" s="153"/>
      <c r="AC45" s="153"/>
      <c r="AD45" s="7"/>
      <c r="AE45" s="7"/>
      <c r="AF45" s="7"/>
      <c r="AK45" s="7" t="s">
        <v>158</v>
      </c>
    </row>
    <row r="46" spans="1:37" ht="15.75" customHeight="1">
      <c r="A46" s="8"/>
      <c r="B46" s="184" t="s">
        <v>159</v>
      </c>
      <c r="C46" s="153"/>
      <c r="D46" s="153"/>
      <c r="E46" s="153"/>
      <c r="F46" s="156"/>
      <c r="G46" s="153"/>
      <c r="H46" s="11"/>
      <c r="I46" s="156"/>
      <c r="J46" s="153"/>
      <c r="K46" s="1"/>
      <c r="L46" s="6"/>
      <c r="M46" s="6"/>
      <c r="N46" s="6"/>
      <c r="O46" s="7"/>
      <c r="P46" s="7"/>
      <c r="Q46" s="1"/>
      <c r="R46" s="1"/>
      <c r="S46" s="1"/>
      <c r="T46" s="1"/>
      <c r="U46" s="1"/>
      <c r="V46" s="1"/>
      <c r="W46" s="1"/>
      <c r="X46" s="1"/>
      <c r="Y46" s="1"/>
      <c r="Z46" s="1"/>
      <c r="AA46" s="1"/>
      <c r="AB46" s="1"/>
      <c r="AC46" s="1"/>
      <c r="AD46" s="7"/>
      <c r="AE46" s="7"/>
      <c r="AF46" s="7"/>
      <c r="AK46" s="7" t="s">
        <v>160</v>
      </c>
    </row>
    <row r="47" spans="1:37" ht="15.75" customHeight="1">
      <c r="A47" s="8"/>
      <c r="B47" s="8"/>
      <c r="C47" s="156" t="s">
        <v>161</v>
      </c>
      <c r="D47" s="153"/>
      <c r="E47" s="153"/>
      <c r="F47" s="156" t="s">
        <v>162</v>
      </c>
      <c r="G47" s="153"/>
      <c r="H47" s="9"/>
      <c r="I47" s="156" t="s">
        <v>126</v>
      </c>
      <c r="J47" s="153"/>
      <c r="K47" s="1"/>
      <c r="L47" s="6"/>
      <c r="M47" s="6"/>
      <c r="N47" s="6"/>
      <c r="O47" s="7"/>
      <c r="P47" s="7"/>
      <c r="Q47" s="8" t="s">
        <v>163</v>
      </c>
      <c r="R47" s="24"/>
      <c r="S47" s="24"/>
      <c r="T47" s="24"/>
      <c r="U47" s="24"/>
      <c r="V47" s="24"/>
      <c r="W47" s="24"/>
      <c r="X47" s="8" t="s">
        <v>164</v>
      </c>
      <c r="Y47" s="24"/>
      <c r="Z47" s="24"/>
      <c r="AA47" s="24"/>
      <c r="AB47" s="24"/>
      <c r="AC47" s="1"/>
      <c r="AD47" s="7"/>
      <c r="AE47" s="7"/>
      <c r="AF47" s="7"/>
    </row>
    <row r="48" spans="1:37" ht="15.75" customHeight="1">
      <c r="A48" s="8"/>
      <c r="B48" s="8"/>
      <c r="C48" s="152" t="s">
        <v>165</v>
      </c>
      <c r="D48" s="153"/>
      <c r="E48" s="153"/>
      <c r="F48" s="152" t="s">
        <v>166</v>
      </c>
      <c r="G48" s="153"/>
      <c r="H48" s="9"/>
      <c r="I48" s="152" t="s">
        <v>167</v>
      </c>
      <c r="J48" s="153"/>
      <c r="K48" s="1"/>
      <c r="L48" s="6"/>
      <c r="M48" s="6"/>
      <c r="N48" s="6"/>
      <c r="O48" s="7"/>
      <c r="P48" s="7"/>
      <c r="Q48" s="1"/>
      <c r="R48" s="1"/>
      <c r="S48" s="1"/>
      <c r="T48" s="1"/>
      <c r="U48" s="1"/>
      <c r="V48" s="1"/>
      <c r="W48" s="1"/>
      <c r="X48" s="1"/>
      <c r="Y48" s="1"/>
      <c r="Z48" s="1"/>
      <c r="AA48" s="1"/>
      <c r="AB48" s="1"/>
      <c r="AC48" s="8"/>
      <c r="AD48" s="7"/>
      <c r="AE48" s="7"/>
      <c r="AF48" s="7"/>
    </row>
    <row r="49" spans="1:32" ht="15.75" customHeight="1">
      <c r="A49" s="8"/>
      <c r="B49" s="8"/>
      <c r="C49" s="152" t="s">
        <v>168</v>
      </c>
      <c r="D49" s="153"/>
      <c r="E49" s="153"/>
      <c r="F49" s="152" t="s">
        <v>169</v>
      </c>
      <c r="G49" s="153"/>
      <c r="H49" s="9"/>
      <c r="I49" s="152" t="s">
        <v>167</v>
      </c>
      <c r="J49" s="153"/>
      <c r="K49" s="1"/>
      <c r="L49" s="6"/>
      <c r="M49" s="6"/>
      <c r="N49" s="6"/>
      <c r="O49" s="7"/>
      <c r="P49" s="7"/>
      <c r="Q49" s="8"/>
      <c r="R49" s="8"/>
      <c r="S49" s="8"/>
      <c r="T49" s="8"/>
      <c r="U49" s="8"/>
      <c r="V49" s="8"/>
      <c r="W49" s="8"/>
      <c r="X49" s="8"/>
      <c r="Y49" s="8"/>
      <c r="Z49" s="8"/>
      <c r="AA49" s="8"/>
      <c r="AB49" s="8"/>
      <c r="AC49" s="8"/>
      <c r="AD49" s="7"/>
      <c r="AE49" s="7"/>
      <c r="AF49" s="7"/>
    </row>
    <row r="50" spans="1:32" ht="15.75" customHeight="1">
      <c r="A50" s="8"/>
      <c r="B50" s="8"/>
      <c r="C50" s="152" t="s">
        <v>170</v>
      </c>
      <c r="D50" s="153"/>
      <c r="E50" s="153"/>
      <c r="F50" s="152" t="s">
        <v>171</v>
      </c>
      <c r="G50" s="153"/>
      <c r="H50" s="9"/>
      <c r="I50" s="152" t="s">
        <v>167</v>
      </c>
      <c r="J50" s="153"/>
      <c r="K50" s="1"/>
      <c r="L50" s="6"/>
      <c r="M50" s="6"/>
      <c r="N50" s="6"/>
      <c r="O50" s="7"/>
      <c r="P50" s="7"/>
      <c r="Q50" s="167" t="str">
        <f>IF('INPUT DATA'!F19="","",'INPUT DATA'!F19)</f>
        <v>JAENA N. DELA CERNA</v>
      </c>
      <c r="R50" s="168"/>
      <c r="S50" s="168"/>
      <c r="T50" s="168"/>
      <c r="U50" s="168"/>
      <c r="V50" s="168"/>
      <c r="W50" s="8"/>
      <c r="X50" s="8"/>
      <c r="Y50" s="8"/>
      <c r="Z50" s="8"/>
      <c r="AA50" s="8"/>
      <c r="AB50" s="8"/>
      <c r="AC50" s="8"/>
      <c r="AD50" s="7"/>
      <c r="AE50" s="7"/>
      <c r="AF50" s="7"/>
    </row>
    <row r="51" spans="1:32" ht="15.75" customHeight="1">
      <c r="A51" s="8"/>
      <c r="B51" s="8"/>
      <c r="C51" s="152" t="s">
        <v>172</v>
      </c>
      <c r="D51" s="153"/>
      <c r="E51" s="153"/>
      <c r="F51" s="152" t="s">
        <v>173</v>
      </c>
      <c r="G51" s="153"/>
      <c r="H51" s="9"/>
      <c r="I51" s="152" t="s">
        <v>174</v>
      </c>
      <c r="J51" s="153"/>
      <c r="K51" s="1"/>
      <c r="L51" s="6"/>
      <c r="M51" s="6"/>
      <c r="N51" s="6"/>
      <c r="O51" s="7"/>
      <c r="P51" s="7"/>
      <c r="Q51" s="152" t="s">
        <v>117</v>
      </c>
      <c r="R51" s="153"/>
      <c r="S51" s="153"/>
      <c r="T51" s="153"/>
      <c r="U51" s="153"/>
      <c r="V51" s="153"/>
      <c r="W51" s="8"/>
      <c r="X51" s="8"/>
      <c r="Y51" s="8"/>
      <c r="Z51" s="8"/>
      <c r="AA51" s="8"/>
      <c r="AB51" s="8"/>
      <c r="AC51" s="8"/>
      <c r="AD51" s="7"/>
      <c r="AE51" s="7"/>
      <c r="AF51" s="7"/>
    </row>
    <row r="52" spans="1:32" ht="15.75" customHeight="1">
      <c r="A52" s="7"/>
      <c r="B52" s="7"/>
      <c r="C52" s="152" t="s">
        <v>175</v>
      </c>
      <c r="D52" s="153"/>
      <c r="E52" s="153"/>
      <c r="F52" s="152" t="s">
        <v>176</v>
      </c>
      <c r="G52" s="153"/>
      <c r="H52" s="7"/>
      <c r="I52" s="152" t="s">
        <v>174</v>
      </c>
      <c r="J52" s="153"/>
      <c r="K52" s="7"/>
      <c r="L52" s="7"/>
      <c r="M52" s="7"/>
      <c r="N52" s="7"/>
      <c r="O52" s="7"/>
      <c r="P52" s="7"/>
      <c r="Q52" s="8"/>
      <c r="R52" s="8"/>
      <c r="S52" s="8"/>
      <c r="T52" s="8"/>
      <c r="U52" s="8"/>
      <c r="V52" s="8"/>
      <c r="W52" s="8"/>
      <c r="X52" s="8"/>
      <c r="Y52" s="8"/>
      <c r="Z52" s="8"/>
      <c r="AA52" s="8"/>
      <c r="AB52" s="8"/>
      <c r="AC52" s="8"/>
      <c r="AD52" s="7"/>
      <c r="AE52" s="7"/>
      <c r="AF52" s="7"/>
    </row>
    <row r="53" spans="1:32"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row>
    <row r="54" spans="1:32"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row>
    <row r="55" spans="1:32"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row>
    <row r="56" spans="1:32"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row>
    <row r="57" spans="1:32"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row>
    <row r="58" spans="1:32"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row>
    <row r="59" spans="1:32"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row>
    <row r="60" spans="1:32"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row>
    <row r="61" spans="1:32"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row>
    <row r="62" spans="1:3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row>
    <row r="63" spans="1:32"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row>
    <row r="64" spans="1:32"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row>
    <row r="65" spans="1:32"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row>
    <row r="66" spans="1:32"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row>
    <row r="67" spans="1:32"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row>
    <row r="68" spans="1:32"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row>
    <row r="69" spans="1:32"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row>
    <row r="70" spans="1:32"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row>
    <row r="71" spans="1:32"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row>
    <row r="72" spans="1:3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row>
    <row r="73" spans="1:32"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row>
    <row r="74" spans="1:32"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row>
    <row r="75" spans="1:32"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row>
    <row r="76" spans="1:32"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row>
    <row r="77" spans="1:32"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row>
    <row r="78" spans="1:32"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row>
    <row r="79" spans="1:32"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row>
    <row r="80" spans="1:32"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row>
    <row r="81" spans="1:32"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row>
    <row r="82" spans="1:3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row>
    <row r="83" spans="1:32"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row>
    <row r="84" spans="1:32"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row>
    <row r="85" spans="1:32"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row>
    <row r="86" spans="1:32"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row>
    <row r="87" spans="1:32"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row>
    <row r="88" spans="1:32"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row>
    <row r="89" spans="1:32"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row>
    <row r="90" spans="1:32"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row>
    <row r="91" spans="1:32"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row>
    <row r="92" spans="1:3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row>
    <row r="93" spans="1:32"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row>
    <row r="94" spans="1:32"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row>
    <row r="95" spans="1:32"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row>
    <row r="96" spans="1:32"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row>
    <row r="97" spans="1:32"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row>
    <row r="98" spans="1:32"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row>
    <row r="99" spans="1:32"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row>
    <row r="100" spans="1:32"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row>
    <row r="101" spans="1:32"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row>
    <row r="102" spans="1:3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row>
    <row r="103" spans="1:32"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row>
    <row r="104" spans="1:32"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row>
    <row r="105" spans="1:32"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row>
    <row r="106" spans="1:32"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row>
    <row r="107" spans="1:32"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row>
    <row r="108" spans="1:32"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row>
    <row r="109" spans="1:32"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row>
    <row r="110" spans="1:32"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row>
    <row r="111" spans="1:32"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row>
    <row r="112" spans="1:3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row>
    <row r="113" spans="1:32"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row>
    <row r="114" spans="1:32"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row>
    <row r="115" spans="1:32"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row>
    <row r="116" spans="1:32"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row>
    <row r="117" spans="1:32"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row>
    <row r="118" spans="1:32"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row>
    <row r="119" spans="1:32"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row>
    <row r="120" spans="1:32"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row>
    <row r="121" spans="1:32"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row>
    <row r="122" spans="1:3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row>
    <row r="123" spans="1:32"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row>
    <row r="124" spans="1:32"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row>
    <row r="125" spans="1:32"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row>
    <row r="126" spans="1:32"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row>
    <row r="127" spans="1:32"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row>
    <row r="128" spans="1:32"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row>
    <row r="129" spans="1:32"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row>
    <row r="130" spans="1:32"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row>
    <row r="131" spans="1:32"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row>
    <row r="132" spans="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row>
    <row r="133" spans="1:32"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row>
    <row r="134" spans="1:32"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row>
    <row r="135" spans="1:32"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row>
    <row r="136" spans="1:32"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row>
    <row r="137" spans="1:32"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row>
    <row r="138" spans="1:32"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row>
    <row r="139" spans="1:32"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row>
    <row r="140" spans="1:32"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row>
    <row r="141" spans="1:32"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row>
    <row r="142" spans="1:3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row>
    <row r="143" spans="1:32"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row>
    <row r="144" spans="1:32"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row>
    <row r="145" spans="1:32"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row>
    <row r="146" spans="1:32"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row>
    <row r="147" spans="1:32"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row>
    <row r="148" spans="1:32"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row>
    <row r="149" spans="1:32"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row>
    <row r="150" spans="1:32"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row>
    <row r="151" spans="1:32"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row>
    <row r="152" spans="1:3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row>
    <row r="153" spans="1:32"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row>
    <row r="154" spans="1:32"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row>
    <row r="155" spans="1:32"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row>
    <row r="156" spans="1:32"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row>
    <row r="157" spans="1:32"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row>
    <row r="158" spans="1:32"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row>
    <row r="159" spans="1:32"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row>
    <row r="160" spans="1:32"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row>
    <row r="161" spans="1:32"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row>
    <row r="162" spans="1:3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row>
    <row r="163" spans="1:32"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row>
    <row r="164" spans="1:32"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row>
    <row r="165" spans="1:32"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row>
    <row r="166" spans="1:32"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row>
    <row r="167" spans="1:32"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row>
    <row r="168" spans="1:32"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row>
    <row r="169" spans="1:32"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row>
    <row r="170" spans="1:32"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row>
    <row r="171" spans="1:32"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row>
    <row r="172" spans="1:3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row>
    <row r="173" spans="1:32"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row>
    <row r="174" spans="1:32"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row>
    <row r="175" spans="1:32"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row>
    <row r="176" spans="1:32"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row>
    <row r="177" spans="1:32"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row>
    <row r="178" spans="1:32"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row>
    <row r="179" spans="1:32"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row>
    <row r="180" spans="1:32"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row>
    <row r="181" spans="1:32"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row>
    <row r="182" spans="1:3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row>
    <row r="183" spans="1:32"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row>
    <row r="184" spans="1:32"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row>
    <row r="185" spans="1:32"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row>
    <row r="186" spans="1:32"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row>
    <row r="187" spans="1:32"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row>
    <row r="188" spans="1:32"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row>
    <row r="189" spans="1:32"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row>
    <row r="190" spans="1:32"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row>
    <row r="191" spans="1:32"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row>
    <row r="192" spans="1:3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row>
    <row r="193" spans="1:32"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row>
    <row r="194" spans="1:32"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row>
    <row r="195" spans="1:32"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row>
    <row r="196" spans="1:32"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row>
    <row r="197" spans="1:32"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row>
    <row r="198" spans="1:32"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row>
    <row r="199" spans="1:32"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row>
    <row r="200" spans="1:32"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row>
    <row r="201" spans="1:32"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row>
    <row r="202" spans="1:3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row>
    <row r="203" spans="1:32"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row>
    <row r="204" spans="1:32"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row>
    <row r="205" spans="1:32"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row>
    <row r="206" spans="1:32"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row>
    <row r="207" spans="1:32"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row>
    <row r="208" spans="1:32"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row>
    <row r="209" spans="1:32"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row>
    <row r="210" spans="1:32"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row>
    <row r="211" spans="1:32"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row>
    <row r="212" spans="1:3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row>
    <row r="213" spans="1:32"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row>
    <row r="214" spans="1:32"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row>
    <row r="215" spans="1:32"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row>
    <row r="216" spans="1:32"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row>
    <row r="217" spans="1:32"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row>
    <row r="218" spans="1:32"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row>
    <row r="219" spans="1:32"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row>
    <row r="220" spans="1:32"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row>
    <row r="221" spans="1:32"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row>
    <row r="222" spans="1:3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row>
    <row r="223" spans="1:32"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row>
    <row r="224" spans="1:32"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row>
    <row r="225" spans="1:32"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row>
    <row r="226" spans="1:32"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row>
    <row r="227" spans="1:32"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row>
    <row r="228" spans="1:32"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row>
    <row r="229" spans="1:32"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row>
    <row r="230" spans="1:32"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row>
    <row r="231" spans="1:32"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row>
    <row r="232" spans="1: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row>
    <row r="233" spans="1:32"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row>
    <row r="234" spans="1:32"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row>
    <row r="235" spans="1:32"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row>
    <row r="236" spans="1:32"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row>
    <row r="237" spans="1:32"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row>
    <row r="238" spans="1:32"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row>
    <row r="239" spans="1:32"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row>
    <row r="240" spans="1:32"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row>
    <row r="241" spans="1:32"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row>
    <row r="242" spans="1:3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row>
    <row r="243" spans="1:32"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row>
    <row r="244" spans="1:32"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row>
    <row r="245" spans="1:32"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row>
    <row r="246" spans="1:32"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row>
    <row r="247" spans="1:32"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row>
    <row r="248" spans="1:32"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row>
    <row r="249" spans="1:32"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row>
    <row r="250" spans="1:32"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row>
    <row r="251" spans="1:32"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row>
    <row r="252" spans="1:3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row>
    <row r="253" spans="1:32"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1:32"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1:32"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1:32"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1:32"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1:32"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1:32"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1:32"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1:32"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1:3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1:32"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1:32"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1:32"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1:32"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1:32"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1:32"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1:32"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1:32"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1:32"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1:3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1:32"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1:32"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1:32"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1:32"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1:32"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1:32"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1:32"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1:32"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1:32"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1:3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1:32"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1:32"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1:32"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1:32"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1:32"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1:32"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1:32"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1:32"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1:32"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1:3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1:32"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1:32"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1:32"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1:32"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1:32"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1:32"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1:32"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1:32"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1:32"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1:3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1:32"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1:32"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1:32"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1:32"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1:32"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1:32"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1:32"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1:32"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1:32"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1:3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1:32"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1:32"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1:32"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1:32"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1:32"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1:32"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1:32"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1:32"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1:32"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1:3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1:32"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1:32"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1:32"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1:32"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1:32"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1:32"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1:32"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1:32"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1:32"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1: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1:32"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1:32"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1:32"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1:32"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1:32"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1:32"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1:32"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1:32"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1:32"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1:3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1:32"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1:32"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1:32"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1:32"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1:32"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1:32"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1:32"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1:32"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1:32"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1:3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1:32"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1:32"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1:32"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1:32"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1:32"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1:32"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1:32"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1:32"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1:32"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1:3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1:32"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1:32"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1:32"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1:32"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1:32"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1:32"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1:32"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1:32"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1:32"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1:3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1:32"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1:32"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1:32"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1:32"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1:32"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1:32"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1:32"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1:32"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1:32"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1:3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1:32"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1:32"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1:32"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1:32"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1:32"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1:32"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1:32"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1:32"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1:32"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1:3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1:32"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1:32"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1:32"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1:32"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1:32"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1:32"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1:32"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1:32"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1:32"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1:3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1:32"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1:32"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1:32"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1:32"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1:32"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1:3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1:32"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1:32"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1:32"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1:32"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1:32"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1:32"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1:32"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1:32"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1:32"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1:3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1:32"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1:32"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1:32"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1:32"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1:32"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1:32"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1:32"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1:32"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1:32"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1: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1:32"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1:32"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1:32"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1:32"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1:32"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1:32"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1:32"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1:32"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1:32"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1:3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1:32"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1:32"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1:32"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1:32"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1:32"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1:32"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1:32"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1:32"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1:32"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1:3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1:32"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1:32"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1:32"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1:32"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1:32"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1:32"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1:32"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1:32"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1:32"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1:3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1:32"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1:32"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1:32"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1:32"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1:32"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1:32"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1:32"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1:32"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1:32"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1:32"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1:32"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1:32"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1:32"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1:32"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1:32"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1:32"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1:32"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1:3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1:32"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1:32"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1:32"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1:32"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1:32"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1:32"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1:32"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1:32"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1:32"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1:32"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1:32"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1:32"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1:32"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1:32"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1:32"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1:3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1:32"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1:32"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1:32"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1:32"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1:32"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1:32"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1:3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1:32"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1:32"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1:32"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1:32"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1:32"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1:32"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1:32"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1:32"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1:32"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1:3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1:32"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1:32"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1:32"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1:32"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1:32"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1:32"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1:32"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1:32"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1:32"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1: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1:32"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1:32"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1:32"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1:32"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1:32"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1:32"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1:32"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1:32"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1:32"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1:3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1:32"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1:32"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1:32"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1:32"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1:32"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1:32"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1:32"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1:32"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1:3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1:32"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1:32"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1:32"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1:32"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1:32"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1:32"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1:32"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1:32"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1:32"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1:3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1:32"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1:32"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1:32"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1:32"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1:32"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1:32"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1:32"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1:32"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1:32"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1:3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1:32"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1:32"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1:32"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1:32"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1:32"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1:32"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1:3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1:32"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1:32"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1:32"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1:32"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1:32"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1:32"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1:32"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1:32"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1:32"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1:3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1:32"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1:32"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1:32"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1:32"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1:32"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1:32"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1:32"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1:32"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1:3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1:32"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1:32"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1:32"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1:32"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1:32"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1:32"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1:32"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1:32"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1:32"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1:3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1:32"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1:32"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1:32"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1:32"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1:32"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1:32"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1:32"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1:32"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1:32"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1:3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1:32"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1:32"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1:32"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1:32"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1:32"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1:32"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1:32"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1:32"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1:32"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1: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1:32"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1:32"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1:32"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1:32"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1:32"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1:32"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1:32"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1:32"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1:32"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1:3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1:32"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1:32"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1:32"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1:32"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1:32"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1:32"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1:32"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1:32"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1:32"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1:3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1:32"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1:32"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1:32"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1:32"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1:32"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1:32"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1:32"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1:32"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1:32"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1:3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1:32"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1:32"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1:32"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1:32"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1:32"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1:32"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1:32"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1:32"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1:32"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1:3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1:32"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1:32"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1:32"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1:32"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1:32"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1:32"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1:32"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1:32"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1:32"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1:3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1:32"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1:32"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1:32"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1:32"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1:32"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1:32"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1:32"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1:32"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1:32"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1:3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1:32"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1:32"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1:32"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1:32"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1:32"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1:32"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1:32"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1:32"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1:32"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1:3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1:32"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1:32"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1:32"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1:32"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1:32"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1:32"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1:32"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1:32"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1:32"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1:3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1:32"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1:32"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1:32"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1:32"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1:32"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1:32"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1:32"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1:32"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1:32"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1:3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1:32"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1:32"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1:32"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1:32"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1:32"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1:32"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1:32"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1:32"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1:32"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1: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1:32"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1:32"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1:32"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1:32"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1:32"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1:32"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1:32"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1:32"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1:32"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1:3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1:32"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1:32"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1:32"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1:32"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1:32"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1:32"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1:32"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1:32"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1:32"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1:3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1:32"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1:32"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1:32"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1:32"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1:32"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1:32"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1:32"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1:32"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1:32"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1:3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1:32"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1:32"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1:32"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1:32"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1:32"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1:32"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1:32"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1:32"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1:32"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1:3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1:32"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1:32"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1:32"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1:32"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1:32"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1:32"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1:32"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1:32"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1:32"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1:3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1:32"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1:32"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1:32"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1:32"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1:32"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1:32"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1:32"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1:32"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1:32"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1:3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1:32"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1:32"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1:32"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1:32"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1:32"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1:32"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1:32"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1:32"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1:32"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1:3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1:32"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1:32"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1:32"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1:32"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1:32"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1:32"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1:32"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1:32"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1:32"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1:3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1:32"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1:32"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1:32"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1:32"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1:32"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1:32"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1:32"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1:32"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1:32"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1:3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1:32"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1:32"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1:32"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1:32"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1:32"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1:32"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1:32"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1:32"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1:32"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1: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1:32"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1:32"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1:32"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1:32"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1:32"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1:32"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1:32"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1:32"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1:32"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1:3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1:32"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1:32"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1:32"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1:32"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1:32"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1:32"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1:32"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1:32"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1:32"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1:3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1:32"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1:32"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1:32"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1:32"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1:32"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1:32"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1:32"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1:32"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1:32"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1:3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1:32"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1:32"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1:32"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1:32"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1:32"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1:32"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1:32"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1:32"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1:32"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1:3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1:32"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1:32"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1:32"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1:32"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1:32"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1:32"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1:32"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1:32"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1:32"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1:3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1:32"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1:32"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1:32"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1:32"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1:32"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1:32"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1:32"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1:32"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1:32"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1:3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1:32"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1:32"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1:32"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1:32"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1:32"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1:32"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1:32"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1:32"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1:32"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1:3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1:32"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1:32"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1:32"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1:32"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1:32"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1:32"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1:32"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1:32"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1:32"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1:3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1:32"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1:32"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1:32"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1:32"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1:32"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1:32"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1:32"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1:32"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1:32"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1:3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1:32"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1:32"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1:32"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1:32"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1:32"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1:32"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1:32"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1:32"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1:32"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1: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1:32"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1:32"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1:32"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1:32"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1:32"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1:32"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1:32"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1:32"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1:32"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1:3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1:32"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1:32"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1:32"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1:32"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1:32"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1:32"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1:32"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1:32"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1:32"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1:3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1:32"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1:32"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1:32"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1:32"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1:32"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1:32"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1:32"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1:32"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1:32"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1:3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1:32"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1:32"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1:32"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1:32"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1:32"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1:32"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1:32"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1:32"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1:32"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1:3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1:32"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1:32"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1:32"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1:32"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1:32"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1:32"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1:32"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1:32"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1:32"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1:3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1:32"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1:32"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1:32"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1:32"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1:32"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1:32"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1:32"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1:32"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1:32"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1:3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1:32"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1:32"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1:32"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1:32"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1:32"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1:32"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1:32"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spans="1:32"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19">
    <mergeCell ref="AC5:AC6"/>
    <mergeCell ref="AC7:AC8"/>
    <mergeCell ref="AC9:AC10"/>
    <mergeCell ref="Q41:V42"/>
    <mergeCell ref="B30:E31"/>
    <mergeCell ref="R15:AC18"/>
    <mergeCell ref="R19:AC22"/>
    <mergeCell ref="R23:AC26"/>
    <mergeCell ref="Z5:Z6"/>
    <mergeCell ref="Z7:Z8"/>
    <mergeCell ref="Z9:Z10"/>
    <mergeCell ref="AA5:AA6"/>
    <mergeCell ref="AA7:AA8"/>
    <mergeCell ref="AA9:AA10"/>
    <mergeCell ref="AB5:AB6"/>
    <mergeCell ref="AB7:AB8"/>
    <mergeCell ref="AB9:AB10"/>
    <mergeCell ref="W5:W6"/>
    <mergeCell ref="W7:W8"/>
    <mergeCell ref="W9:W10"/>
    <mergeCell ref="X5:X6"/>
    <mergeCell ref="X7:X8"/>
    <mergeCell ref="X9:X10"/>
    <mergeCell ref="Y5:Y6"/>
    <mergeCell ref="Y7:Y8"/>
    <mergeCell ref="Y9:Y10"/>
    <mergeCell ref="C52:E52"/>
    <mergeCell ref="F52:G52"/>
    <mergeCell ref="I52:J52"/>
    <mergeCell ref="I30:I31"/>
    <mergeCell ref="J30:J31"/>
    <mergeCell ref="K30:K31"/>
    <mergeCell ref="Q5:Q6"/>
    <mergeCell ref="Q7:Q8"/>
    <mergeCell ref="Q9:Q10"/>
    <mergeCell ref="Q15:Q18"/>
    <mergeCell ref="Q19:Q22"/>
    <mergeCell ref="Q23:Q26"/>
    <mergeCell ref="C49:E49"/>
    <mergeCell ref="F49:G49"/>
    <mergeCell ref="I49:J49"/>
    <mergeCell ref="C50:E50"/>
    <mergeCell ref="F50:G50"/>
    <mergeCell ref="I50:J50"/>
    <mergeCell ref="Q50:V50"/>
    <mergeCell ref="C51:E51"/>
    <mergeCell ref="F51:G51"/>
    <mergeCell ref="I51:J51"/>
    <mergeCell ref="Q51:V51"/>
    <mergeCell ref="B46:E46"/>
    <mergeCell ref="F46:G46"/>
    <mergeCell ref="I46:J46"/>
    <mergeCell ref="C47:E47"/>
    <mergeCell ref="F47:G47"/>
    <mergeCell ref="I47:J47"/>
    <mergeCell ref="C48:E48"/>
    <mergeCell ref="F48:G48"/>
    <mergeCell ref="I48:J48"/>
    <mergeCell ref="B41:E41"/>
    <mergeCell ref="X41:AC41"/>
    <mergeCell ref="B42:E42"/>
    <mergeCell ref="X42:AC42"/>
    <mergeCell ref="B43:E43"/>
    <mergeCell ref="Q43:V43"/>
    <mergeCell ref="X43:AC43"/>
    <mergeCell ref="B44:H44"/>
    <mergeCell ref="Q45:AC45"/>
    <mergeCell ref="B34:E34"/>
    <mergeCell ref="B35:E35"/>
    <mergeCell ref="B36:E36"/>
    <mergeCell ref="B37:E37"/>
    <mergeCell ref="B38:E38"/>
    <mergeCell ref="B39:E39"/>
    <mergeCell ref="X39:AC39"/>
    <mergeCell ref="B40:K40"/>
    <mergeCell ref="R40:U40"/>
    <mergeCell ref="X40:AC40"/>
    <mergeCell ref="B28:F28"/>
    <mergeCell ref="H28:K28"/>
    <mergeCell ref="Q28:AC28"/>
    <mergeCell ref="B29:K29"/>
    <mergeCell ref="R29:S29"/>
    <mergeCell ref="F30:H30"/>
    <mergeCell ref="R30:S30"/>
    <mergeCell ref="R31:S31"/>
    <mergeCell ref="B32:K32"/>
    <mergeCell ref="V7:V8"/>
    <mergeCell ref="V9:V10"/>
    <mergeCell ref="B15:K15"/>
    <mergeCell ref="C17:G17"/>
    <mergeCell ref="C18:E18"/>
    <mergeCell ref="E19:F19"/>
    <mergeCell ref="B21:C21"/>
    <mergeCell ref="B27:F27"/>
    <mergeCell ref="H27:K27"/>
    <mergeCell ref="Q33:AC33"/>
    <mergeCell ref="B33:E33"/>
    <mergeCell ref="B4:K4"/>
    <mergeCell ref="B5:K5"/>
    <mergeCell ref="B7:K7"/>
    <mergeCell ref="B8:K8"/>
    <mergeCell ref="B9:K9"/>
    <mergeCell ref="B10:K10"/>
    <mergeCell ref="B12:K12"/>
    <mergeCell ref="B14:K14"/>
    <mergeCell ref="Q14:AC14"/>
    <mergeCell ref="R5:R6"/>
    <mergeCell ref="R7:R8"/>
    <mergeCell ref="R9:R10"/>
    <mergeCell ref="S5:S6"/>
    <mergeCell ref="S7:S8"/>
    <mergeCell ref="S9:S10"/>
    <mergeCell ref="T5:T6"/>
    <mergeCell ref="T7:T8"/>
    <mergeCell ref="T9:T10"/>
    <mergeCell ref="U5:U6"/>
    <mergeCell ref="U7:U8"/>
    <mergeCell ref="U9:U10"/>
    <mergeCell ref="V5:V6"/>
  </mergeCells>
  <dataValidations count="2">
    <dataValidation allowBlank="1" showInputMessage="1" showErrorMessage="1" sqref="Q15:Q18 Q19:Q22 Q23:Q26" xr:uid="{00000000-0002-0000-0500-000001000000}"/>
    <dataValidation type="list" allowBlank="1" showInputMessage="1" showErrorMessage="1" sqref="R15:AC18 R19:AC22 R23:AC26" xr:uid="{00000000-0002-0000-0500-000002000000}">
      <formula1>$AK$3:$AK$46</formula1>
    </dataValidation>
  </dataValidations>
  <printOptions horizontalCentered="1" verticalCentered="1"/>
  <pageMargins left="0.196850393700787" right="0.196850393700787" top="0.196850393700787" bottom="0.196850393700787" header="0" footer="0"/>
  <pageSetup paperSize="256" scale="83" orientation="portrait" r:id="rId1"/>
  <drawing r:id="rId2"/>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'TERM 1 SUMMARY'!$C$15:$C$144</xm:f>
          </x14:formula1>
          <xm:sqref>C17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Home</vt:lpstr>
      <vt:lpstr>INPUT DATA</vt:lpstr>
      <vt:lpstr>TERM 1 SUMMARY</vt:lpstr>
      <vt:lpstr>Card_SF9</vt:lpstr>
      <vt:lpstr>Card_SF9!Print_Area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Gil Brian Tuazon</cp:lastModifiedBy>
  <cp:lastPrinted>2026-10-30T08:25:37Z</cp:lastPrinted>
  <dcterms:created xsi:type="dcterms:W3CDTF">2026-08-26T09:34:00Z</dcterms:created>
  <dcterms:modified xsi:type="dcterms:W3CDTF">2026-10-30T08:30:11Z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730CEA29C2D24EB88C1E85ABB000CAD4_12</vt:lpwstr>
  </property>
  <property fmtid="{D5CDD505-2E9C-101B-9397-08002B2CF9AE}" pid="3" name="KSOProductBuildVer">
    <vt:lpwstr>1033-12.1.0.28485</vt:lpwstr>
  </property>
  <property fmtid="{D5CDD505-2E9C-101B-9397-08002B2CF9AE}" pid="4" name="CalculationRule">
    <vt:i4>0</vt:i4>
  </property>
</Properties>
</file>